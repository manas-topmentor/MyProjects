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YDAK\Desktop\manas\MANAS BANERJEE\misc\cv\project\Batch 147 - DAY 05 - 23 MAY 2026\Assignment\"/>
    </mc:Choice>
  </mc:AlternateContent>
  <xr:revisionPtr revIDLastSave="0" documentId="13_ncr:1_{1D116BBD-BFC8-4861-86E7-1068D8EF75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Solutions" sheetId="2" r:id="rId2"/>
    <sheet name="Questions" sheetId="3" r:id="rId3"/>
  </sheets>
  <definedNames>
    <definedName name="_xlnm._FilterDatabase" localSheetId="0" hidden="1">Data!$A$1:$N$1486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/>
  <c r="E19" i="1" a="1"/>
  <c r="E19" i="1" s="1"/>
  <c r="E20" i="1" a="1"/>
  <c r="E20" i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/>
  <c r="E35" i="1" a="1"/>
  <c r="E35" i="1" s="1"/>
  <c r="E36" i="1" a="1"/>
  <c r="E36" i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/>
  <c r="E67" i="1" a="1"/>
  <c r="E67" i="1" s="1"/>
  <c r="E68" i="1" a="1"/>
  <c r="E68" i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/>
  <c r="E83" i="1" a="1"/>
  <c r="E83" i="1" s="1"/>
  <c r="E84" i="1" a="1"/>
  <c r="E84" i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/>
  <c r="E99" i="1" a="1"/>
  <c r="E99" i="1" s="1"/>
  <c r="E100" i="1" a="1"/>
  <c r="E100" i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/>
  <c r="E131" i="1" a="1"/>
  <c r="E131" i="1" s="1"/>
  <c r="E132" i="1" a="1"/>
  <c r="E132" i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/>
  <c r="E147" i="1" a="1"/>
  <c r="E147" i="1" s="1"/>
  <c r="E148" i="1" a="1"/>
  <c r="E148" i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/>
  <c r="E163" i="1" a="1"/>
  <c r="E163" i="1" s="1"/>
  <c r="E164" i="1" a="1"/>
  <c r="E164" i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/>
  <c r="E173" i="1" a="1"/>
  <c r="E173" i="1" s="1"/>
  <c r="E174" i="1" a="1"/>
  <c r="E174" i="1"/>
  <c r="E175" i="1" a="1"/>
  <c r="E175" i="1" s="1"/>
  <c r="E176" i="1" a="1"/>
  <c r="E176" i="1"/>
  <c r="E177" i="1" a="1"/>
  <c r="E177" i="1" s="1"/>
  <c r="E178" i="1" a="1"/>
  <c r="E178" i="1"/>
  <c r="E179" i="1" a="1"/>
  <c r="E179" i="1" s="1"/>
  <c r="E180" i="1" a="1"/>
  <c r="E180" i="1"/>
  <c r="E181" i="1" a="1"/>
  <c r="E181" i="1" s="1"/>
  <c r="E182" i="1" a="1"/>
  <c r="E182" i="1"/>
  <c r="E183" i="1" a="1"/>
  <c r="E183" i="1" s="1"/>
  <c r="E184" i="1" a="1"/>
  <c r="E184" i="1"/>
  <c r="E185" i="1" a="1"/>
  <c r="E185" i="1" s="1"/>
  <c r="E186" i="1" a="1"/>
  <c r="E186" i="1"/>
  <c r="E187" i="1" a="1"/>
  <c r="E187" i="1" s="1"/>
  <c r="E188" i="1" a="1"/>
  <c r="E188" i="1" s="1"/>
  <c r="E189" i="1" a="1"/>
  <c r="E189" i="1" s="1"/>
  <c r="E190" i="1" a="1"/>
  <c r="E190" i="1"/>
  <c r="E191" i="1" a="1"/>
  <c r="E191" i="1" s="1"/>
  <c r="E192" i="1" a="1"/>
  <c r="E192" i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/>
  <c r="E223" i="1" a="1"/>
  <c r="E223" i="1" s="1"/>
  <c r="E224" i="1" a="1"/>
  <c r="E224" i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/>
  <c r="E239" i="1" a="1"/>
  <c r="E239" i="1" s="1"/>
  <c r="E240" i="1" a="1"/>
  <c r="E240" i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/>
  <c r="E255" i="1" a="1"/>
  <c r="E255" i="1" s="1"/>
  <c r="E256" i="1" a="1"/>
  <c r="E256" i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/>
  <c r="E287" i="1" a="1"/>
  <c r="E287" i="1" s="1"/>
  <c r="E288" i="1" a="1"/>
  <c r="E288" i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/>
  <c r="E297" i="1" a="1"/>
  <c r="E297" i="1" s="1"/>
  <c r="E298" i="1" a="1"/>
  <c r="E298" i="1" s="1"/>
  <c r="E299" i="1" a="1"/>
  <c r="E299" i="1" s="1"/>
  <c r="E300" i="1" a="1"/>
  <c r="E300" i="1" s="1"/>
  <c r="E301" i="1" a="1"/>
  <c r="E301" i="1"/>
  <c r="E302" i="1" a="1"/>
  <c r="E302" i="1" s="1"/>
  <c r="E303" i="1" a="1"/>
  <c r="E303" i="1"/>
  <c r="E304" i="1" a="1"/>
  <c r="E304" i="1" s="1"/>
  <c r="E305" i="1" a="1"/>
  <c r="E305" i="1"/>
  <c r="E306" i="1" a="1"/>
  <c r="E306" i="1" s="1"/>
  <c r="E307" i="1" a="1"/>
  <c r="E307" i="1"/>
  <c r="E308" i="1" a="1"/>
  <c r="E308" i="1" s="1"/>
  <c r="E309" i="1" a="1"/>
  <c r="E309" i="1"/>
  <c r="E310" i="1" a="1"/>
  <c r="E310" i="1" s="1"/>
  <c r="E311" i="1" a="1"/>
  <c r="E311" i="1"/>
  <c r="E312" i="1" a="1"/>
  <c r="E312" i="1" s="1"/>
  <c r="E313" i="1" a="1"/>
  <c r="E313" i="1"/>
  <c r="E314" i="1" a="1"/>
  <c r="E314" i="1" s="1"/>
  <c r="E315" i="1" a="1"/>
  <c r="E315" i="1"/>
  <c r="E316" i="1" a="1"/>
  <c r="E316" i="1" s="1"/>
  <c r="E317" i="1" a="1"/>
  <c r="E317" i="1"/>
  <c r="E318" i="1" a="1"/>
  <c r="E318" i="1" s="1"/>
  <c r="E319" i="1" a="1"/>
  <c r="E319" i="1"/>
  <c r="E320" i="1" a="1"/>
  <c r="E320" i="1" s="1"/>
  <c r="E321" i="1" a="1"/>
  <c r="E321" i="1"/>
  <c r="E322" i="1" a="1"/>
  <c r="E322" i="1" s="1"/>
  <c r="E323" i="1" a="1"/>
  <c r="E323" i="1"/>
  <c r="E324" i="1" a="1"/>
  <c r="E324" i="1" s="1"/>
  <c r="E325" i="1" a="1"/>
  <c r="E325" i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/>
  <c r="E340" i="1" a="1"/>
  <c r="E340" i="1" s="1"/>
  <c r="E341" i="1" a="1"/>
  <c r="E341" i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/>
  <c r="E356" i="1" a="1"/>
  <c r="E356" i="1" s="1"/>
  <c r="E357" i="1" a="1"/>
  <c r="E357" i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/>
  <c r="E372" i="1" a="1"/>
  <c r="E372" i="1" s="1"/>
  <c r="E373" i="1" a="1"/>
  <c r="E373" i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/>
  <c r="E388" i="1" a="1"/>
  <c r="E388" i="1" s="1"/>
  <c r="E389" i="1" a="1"/>
  <c r="E389" i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/>
  <c r="E404" i="1" a="1"/>
  <c r="E404" i="1" s="1"/>
  <c r="E405" i="1" a="1"/>
  <c r="E405" i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/>
  <c r="E420" i="1" a="1"/>
  <c r="E420" i="1" s="1"/>
  <c r="E421" i="1" a="1"/>
  <c r="E421" i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/>
  <c r="E436" i="1" a="1"/>
  <c r="E436" i="1" s="1"/>
  <c r="E437" i="1" a="1"/>
  <c r="E437" i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/>
  <c r="E452" i="1" a="1"/>
  <c r="E452" i="1" s="1"/>
  <c r="E453" i="1" a="1"/>
  <c r="E453" i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/>
  <c r="E468" i="1" a="1"/>
  <c r="E468" i="1" s="1"/>
  <c r="E469" i="1" a="1"/>
  <c r="E469" i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/>
  <c r="E484" i="1" a="1"/>
  <c r="E484" i="1" s="1"/>
  <c r="E485" i="1" a="1"/>
  <c r="E485" i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/>
  <c r="E500" i="1" a="1"/>
  <c r="E500" i="1" s="1"/>
  <c r="E501" i="1" a="1"/>
  <c r="E501" i="1"/>
  <c r="E502" i="1" a="1"/>
  <c r="E502" i="1" s="1"/>
  <c r="E503" i="1" a="1"/>
  <c r="E503" i="1" s="1"/>
  <c r="E504" i="1" a="1"/>
  <c r="E504" i="1" s="1"/>
  <c r="E505" i="1" a="1"/>
  <c r="E505" i="1" s="1"/>
  <c r="E506" i="1" a="1"/>
  <c r="E506" i="1" s="1"/>
  <c r="E507" i="1" a="1"/>
  <c r="E507" i="1" s="1"/>
  <c r="E508" i="1" a="1"/>
  <c r="E508" i="1" s="1"/>
  <c r="E509" i="1" a="1"/>
  <c r="E509" i="1"/>
  <c r="E510" i="1" a="1"/>
  <c r="E510" i="1" s="1"/>
  <c r="E511" i="1" a="1"/>
  <c r="E511" i="1" s="1"/>
  <c r="E512" i="1" a="1"/>
  <c r="E512" i="1" s="1"/>
  <c r="E513" i="1" a="1"/>
  <c r="E513" i="1" s="1"/>
  <c r="E514" i="1" a="1"/>
  <c r="E514" i="1" s="1"/>
  <c r="E515" i="1" a="1"/>
  <c r="E515" i="1"/>
  <c r="E516" i="1" a="1"/>
  <c r="E516" i="1" s="1"/>
  <c r="E517" i="1" a="1"/>
  <c r="E517" i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/>
  <c r="E532" i="1" a="1"/>
  <c r="E532" i="1" s="1"/>
  <c r="E533" i="1" a="1"/>
  <c r="E533" i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/>
  <c r="E548" i="1" a="1"/>
  <c r="E548" i="1" s="1"/>
  <c r="E549" i="1" a="1"/>
  <c r="E549" i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/>
  <c r="E564" i="1" a="1"/>
  <c r="E564" i="1" s="1"/>
  <c r="E565" i="1" a="1"/>
  <c r="E565" i="1"/>
  <c r="E566" i="1" a="1"/>
  <c r="E566" i="1" s="1"/>
  <c r="E567" i="1" a="1"/>
  <c r="E567" i="1" s="1"/>
  <c r="E568" i="1" a="1"/>
  <c r="E568" i="1" s="1"/>
  <c r="E569" i="1" a="1"/>
  <c r="E569" i="1" s="1"/>
  <c r="E570" i="1" a="1"/>
  <c r="E570" i="1" s="1"/>
  <c r="E571" i="1" a="1"/>
  <c r="E571" i="1" s="1"/>
  <c r="E572" i="1" a="1"/>
  <c r="E572" i="1" s="1"/>
  <c r="E573" i="1" a="1"/>
  <c r="E573" i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/>
  <c r="E580" i="1" a="1"/>
  <c r="E580" i="1" s="1"/>
  <c r="E581" i="1" a="1"/>
  <c r="E581" i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/>
  <c r="E596" i="1" a="1"/>
  <c r="E596" i="1" s="1"/>
  <c r="E597" i="1" a="1"/>
  <c r="E597" i="1"/>
  <c r="E598" i="1" a="1"/>
  <c r="E598" i="1" s="1"/>
  <c r="E599" i="1" a="1"/>
  <c r="E599" i="1" s="1"/>
  <c r="E600" i="1" a="1"/>
  <c r="E600" i="1" s="1"/>
  <c r="E601" i="1" a="1"/>
  <c r="E601" i="1" s="1"/>
  <c r="E602" i="1" a="1"/>
  <c r="E602" i="1" s="1"/>
  <c r="E603" i="1" a="1"/>
  <c r="E603" i="1" s="1"/>
  <c r="E604" i="1" a="1"/>
  <c r="E604" i="1" s="1"/>
  <c r="E605" i="1" a="1"/>
  <c r="E605" i="1"/>
  <c r="E606" i="1" a="1"/>
  <c r="E606" i="1" s="1"/>
  <c r="E607" i="1" a="1"/>
  <c r="E607" i="1" s="1"/>
  <c r="E608" i="1" a="1"/>
  <c r="E608" i="1" s="1"/>
  <c r="E609" i="1" a="1"/>
  <c r="E609" i="1" s="1"/>
  <c r="E610" i="1" a="1"/>
  <c r="E610" i="1" s="1"/>
  <c r="E611" i="1" a="1"/>
  <c r="E611" i="1"/>
  <c r="E612" i="1" a="1"/>
  <c r="E612" i="1" s="1"/>
  <c r="E613" i="1" a="1"/>
  <c r="E613" i="1" s="1"/>
  <c r="E614" i="1" a="1"/>
  <c r="E614" i="1" s="1"/>
  <c r="E615" i="1" a="1"/>
  <c r="E615" i="1" s="1"/>
  <c r="E616" i="1" a="1"/>
  <c r="E616" i="1" s="1"/>
  <c r="E617" i="1" a="1"/>
  <c r="E617" i="1"/>
  <c r="E618" i="1" a="1"/>
  <c r="E618" i="1" s="1"/>
  <c r="E619" i="1" a="1"/>
  <c r="E619" i="1"/>
  <c r="E620" i="1" a="1"/>
  <c r="E620" i="1" s="1"/>
  <c r="E621" i="1" a="1"/>
  <c r="E621" i="1" s="1"/>
  <c r="E622" i="1" a="1"/>
  <c r="E622" i="1" s="1"/>
  <c r="E623" i="1" a="1"/>
  <c r="E623" i="1" s="1"/>
  <c r="E624" i="1" a="1"/>
  <c r="E624" i="1" s="1"/>
  <c r="E625" i="1" a="1"/>
  <c r="E625" i="1"/>
  <c r="E626" i="1" a="1"/>
  <c r="E626" i="1" s="1"/>
  <c r="E627" i="1" a="1"/>
  <c r="E627" i="1"/>
  <c r="E628" i="1" a="1"/>
  <c r="E628" i="1" s="1"/>
  <c r="E629" i="1" a="1"/>
  <c r="E629" i="1" s="1"/>
  <c r="E630" i="1" a="1"/>
  <c r="E630" i="1" s="1"/>
  <c r="E631" i="1" a="1"/>
  <c r="E631" i="1" s="1"/>
  <c r="E632" i="1" a="1"/>
  <c r="E632" i="1" s="1"/>
  <c r="E633" i="1" a="1"/>
  <c r="E633" i="1"/>
  <c r="E634" i="1" a="1"/>
  <c r="E634" i="1" s="1"/>
  <c r="E635" i="1" a="1"/>
  <c r="E635" i="1"/>
  <c r="E636" i="1" a="1"/>
  <c r="E636" i="1" s="1"/>
  <c r="E637" i="1" a="1"/>
  <c r="E637" i="1" s="1"/>
  <c r="E638" i="1" a="1"/>
  <c r="E638" i="1" s="1"/>
  <c r="E639" i="1" a="1"/>
  <c r="E639" i="1" s="1"/>
  <c r="E640" i="1" a="1"/>
  <c r="E640" i="1" s="1"/>
  <c r="E641" i="1" a="1"/>
  <c r="E641" i="1"/>
  <c r="E642" i="1" a="1"/>
  <c r="E642" i="1" s="1"/>
  <c r="E643" i="1" a="1"/>
  <c r="E643" i="1"/>
  <c r="E644" i="1" a="1"/>
  <c r="E644" i="1" s="1"/>
  <c r="E645" i="1" a="1"/>
  <c r="E645" i="1" s="1"/>
  <c r="E646" i="1" a="1"/>
  <c r="E646" i="1" s="1"/>
  <c r="E647" i="1" a="1"/>
  <c r="E647" i="1" s="1"/>
  <c r="E648" i="1" a="1"/>
  <c r="E648" i="1" s="1"/>
  <c r="E649" i="1" a="1"/>
  <c r="E649" i="1"/>
  <c r="E650" i="1" a="1"/>
  <c r="E650" i="1" s="1"/>
  <c r="E651" i="1" a="1"/>
  <c r="E651" i="1"/>
  <c r="E652" i="1" a="1"/>
  <c r="E652" i="1" s="1"/>
  <c r="E653" i="1" a="1"/>
  <c r="E653" i="1" s="1"/>
  <c r="E654" i="1" a="1"/>
  <c r="E654" i="1" s="1"/>
  <c r="E655" i="1" a="1"/>
  <c r="E655" i="1" s="1"/>
  <c r="E656" i="1" a="1"/>
  <c r="E656" i="1" s="1"/>
  <c r="E657" i="1" a="1"/>
  <c r="E657" i="1"/>
  <c r="E658" i="1" a="1"/>
  <c r="E658" i="1" s="1"/>
  <c r="E659" i="1" a="1"/>
  <c r="E659" i="1"/>
  <c r="E660" i="1" a="1"/>
  <c r="E660" i="1" s="1"/>
  <c r="E661" i="1" a="1"/>
  <c r="E661" i="1" s="1"/>
  <c r="E662" i="1" a="1"/>
  <c r="E662" i="1" s="1"/>
  <c r="E663" i="1" a="1"/>
  <c r="E663" i="1" s="1"/>
  <c r="E664" i="1" a="1"/>
  <c r="E664" i="1" s="1"/>
  <c r="E665" i="1" a="1"/>
  <c r="E665" i="1"/>
  <c r="E666" i="1" a="1"/>
  <c r="E666" i="1" s="1"/>
  <c r="E667" i="1" a="1"/>
  <c r="E667" i="1"/>
  <c r="E668" i="1" a="1"/>
  <c r="E668" i="1" s="1"/>
  <c r="E669" i="1" a="1"/>
  <c r="E669" i="1" s="1"/>
  <c r="E670" i="1" a="1"/>
  <c r="E670" i="1" s="1"/>
  <c r="E671" i="1" a="1"/>
  <c r="E671" i="1" s="1"/>
  <c r="E672" i="1" a="1"/>
  <c r="E672" i="1" s="1"/>
  <c r="E673" i="1" a="1"/>
  <c r="E673" i="1"/>
  <c r="E674" i="1" a="1"/>
  <c r="E674" i="1" s="1"/>
  <c r="E675" i="1" a="1"/>
  <c r="E675" i="1"/>
  <c r="E676" i="1" a="1"/>
  <c r="E676" i="1" s="1"/>
  <c r="E677" i="1" a="1"/>
  <c r="E677" i="1" s="1"/>
  <c r="E678" i="1" a="1"/>
  <c r="E678" i="1" s="1"/>
  <c r="E679" i="1" a="1"/>
  <c r="E679" i="1" s="1"/>
  <c r="E680" i="1" a="1"/>
  <c r="E680" i="1" s="1"/>
  <c r="E681" i="1" a="1"/>
  <c r="E681" i="1"/>
  <c r="E682" i="1" a="1"/>
  <c r="E682" i="1" s="1"/>
  <c r="E683" i="1" a="1"/>
  <c r="E683" i="1"/>
  <c r="E684" i="1" a="1"/>
  <c r="E684" i="1" s="1"/>
  <c r="E685" i="1" a="1"/>
  <c r="E685" i="1" s="1"/>
  <c r="E686" i="1" a="1"/>
  <c r="E686" i="1" s="1"/>
  <c r="E687" i="1" a="1"/>
  <c r="E687" i="1" s="1"/>
  <c r="E688" i="1" a="1"/>
  <c r="E688" i="1" s="1"/>
  <c r="E689" i="1" a="1"/>
  <c r="E689" i="1"/>
  <c r="E690" i="1" a="1"/>
  <c r="E690" i="1" s="1"/>
  <c r="E691" i="1" a="1"/>
  <c r="E691" i="1"/>
  <c r="E692" i="1" a="1"/>
  <c r="E692" i="1" s="1"/>
  <c r="E693" i="1" a="1"/>
  <c r="E693" i="1" s="1"/>
  <c r="E694" i="1" a="1"/>
  <c r="E694" i="1" s="1"/>
  <c r="E695" i="1" a="1"/>
  <c r="E695" i="1" s="1"/>
  <c r="E696" i="1" a="1"/>
  <c r="E696" i="1" s="1"/>
  <c r="E697" i="1" a="1"/>
  <c r="E697" i="1"/>
  <c r="E698" i="1" a="1"/>
  <c r="E698" i="1" s="1"/>
  <c r="E699" i="1" a="1"/>
  <c r="E699" i="1"/>
  <c r="E700" i="1" a="1"/>
  <c r="E700" i="1" s="1"/>
  <c r="E701" i="1" a="1"/>
  <c r="E701" i="1" s="1"/>
  <c r="E702" i="1" a="1"/>
  <c r="E702" i="1" s="1"/>
  <c r="E703" i="1" a="1"/>
  <c r="E703" i="1" s="1"/>
  <c r="E704" i="1" a="1"/>
  <c r="E704" i="1" s="1"/>
  <c r="E705" i="1" a="1"/>
  <c r="E705" i="1"/>
  <c r="E706" i="1" a="1"/>
  <c r="E706" i="1" s="1"/>
  <c r="E707" i="1" a="1"/>
  <c r="E707" i="1"/>
  <c r="E708" i="1" a="1"/>
  <c r="E708" i="1" s="1"/>
  <c r="E709" i="1" a="1"/>
  <c r="E709" i="1" s="1"/>
  <c r="E710" i="1" a="1"/>
  <c r="E710" i="1" s="1"/>
  <c r="E711" i="1" a="1"/>
  <c r="E711" i="1" s="1"/>
  <c r="E712" i="1" a="1"/>
  <c r="E712" i="1" s="1"/>
  <c r="E713" i="1" a="1"/>
  <c r="E713" i="1"/>
  <c r="E714" i="1" a="1"/>
  <c r="E714" i="1" s="1"/>
  <c r="E715" i="1" a="1"/>
  <c r="E715" i="1"/>
  <c r="E716" i="1" a="1"/>
  <c r="E716" i="1" s="1"/>
  <c r="E717" i="1" a="1"/>
  <c r="E717" i="1" s="1"/>
  <c r="E718" i="1" a="1"/>
  <c r="E718" i="1" s="1"/>
  <c r="E719" i="1" a="1"/>
  <c r="E719" i="1" s="1"/>
  <c r="E720" i="1" a="1"/>
  <c r="E720" i="1" s="1"/>
  <c r="E721" i="1" a="1"/>
  <c r="E721" i="1"/>
  <c r="E722" i="1" a="1"/>
  <c r="E722" i="1" s="1"/>
  <c r="E723" i="1" a="1"/>
  <c r="E723" i="1"/>
  <c r="E724" i="1" a="1"/>
  <c r="E724" i="1" s="1"/>
  <c r="E725" i="1" a="1"/>
  <c r="E725" i="1" s="1"/>
  <c r="E726" i="1" a="1"/>
  <c r="E726" i="1" s="1"/>
  <c r="E727" i="1" a="1"/>
  <c r="E727" i="1" s="1"/>
  <c r="E728" i="1" a="1"/>
  <c r="E728" i="1" s="1"/>
  <c r="E729" i="1" a="1"/>
  <c r="E729" i="1"/>
  <c r="E730" i="1" a="1"/>
  <c r="E730" i="1" s="1"/>
  <c r="E731" i="1" a="1"/>
  <c r="E731" i="1"/>
  <c r="E732" i="1" a="1"/>
  <c r="E732" i="1" s="1"/>
  <c r="E733" i="1" a="1"/>
  <c r="E733" i="1" s="1"/>
  <c r="E734" i="1" a="1"/>
  <c r="E734" i="1" s="1"/>
  <c r="E735" i="1" a="1"/>
  <c r="E735" i="1" s="1"/>
  <c r="E736" i="1" a="1"/>
  <c r="E736" i="1" s="1"/>
  <c r="E737" i="1" a="1"/>
  <c r="E737" i="1"/>
  <c r="E738" i="1" a="1"/>
  <c r="E738" i="1" s="1"/>
  <c r="E739" i="1" a="1"/>
  <c r="E739" i="1"/>
  <c r="E740" i="1" a="1"/>
  <c r="E740" i="1" s="1"/>
  <c r="E741" i="1" a="1"/>
  <c r="E741" i="1" s="1"/>
  <c r="E742" i="1" a="1"/>
  <c r="E742" i="1" s="1"/>
  <c r="E743" i="1" a="1"/>
  <c r="E743" i="1" s="1"/>
  <c r="E744" i="1" a="1"/>
  <c r="E744" i="1" s="1"/>
  <c r="E745" i="1" a="1"/>
  <c r="E745" i="1"/>
  <c r="E746" i="1" a="1"/>
  <c r="E746" i="1" s="1"/>
  <c r="E747" i="1" a="1"/>
  <c r="E747" i="1"/>
  <c r="E748" i="1" a="1"/>
  <c r="E748" i="1" s="1"/>
  <c r="E749" i="1" a="1"/>
  <c r="E749" i="1"/>
  <c r="E750" i="1" a="1"/>
  <c r="E750" i="1" s="1"/>
  <c r="E751" i="1" a="1"/>
  <c r="E751" i="1" s="1"/>
  <c r="E752" i="1" a="1"/>
  <c r="E752" i="1" s="1"/>
  <c r="E753" i="1" a="1"/>
  <c r="E753" i="1"/>
  <c r="E754" i="1" a="1"/>
  <c r="E754" i="1" s="1"/>
  <c r="E755" i="1" a="1"/>
  <c r="E755" i="1"/>
  <c r="E756" i="1" a="1"/>
  <c r="E756" i="1" s="1"/>
  <c r="E757" i="1" a="1"/>
  <c r="E757" i="1"/>
  <c r="E758" i="1" a="1"/>
  <c r="E758" i="1" s="1"/>
  <c r="E759" i="1" a="1"/>
  <c r="E759" i="1" s="1"/>
  <c r="E760" i="1" a="1"/>
  <c r="E760" i="1" s="1"/>
  <c r="E761" i="1" a="1"/>
  <c r="E761" i="1"/>
  <c r="E762" i="1" a="1"/>
  <c r="E762" i="1" s="1"/>
  <c r="E763" i="1" a="1"/>
  <c r="E763" i="1"/>
  <c r="E764" i="1" a="1"/>
  <c r="E764" i="1" s="1"/>
  <c r="E765" i="1" a="1"/>
  <c r="E765" i="1"/>
  <c r="E766" i="1" a="1"/>
  <c r="E766" i="1" s="1"/>
  <c r="E767" i="1" a="1"/>
  <c r="E767" i="1" s="1"/>
  <c r="E768" i="1" a="1"/>
  <c r="E768" i="1" s="1"/>
  <c r="E769" i="1" a="1"/>
  <c r="E769" i="1"/>
  <c r="E770" i="1" a="1"/>
  <c r="E770" i="1" s="1"/>
  <c r="E771" i="1" a="1"/>
  <c r="E771" i="1"/>
  <c r="E772" i="1" a="1"/>
  <c r="E772" i="1" s="1"/>
  <c r="E773" i="1" a="1"/>
  <c r="E773" i="1"/>
  <c r="E774" i="1" a="1"/>
  <c r="E774" i="1" s="1"/>
  <c r="E775" i="1" a="1"/>
  <c r="E775" i="1" s="1"/>
  <c r="E776" i="1" a="1"/>
  <c r="E776" i="1" s="1"/>
  <c r="E777" i="1" a="1"/>
  <c r="E777" i="1"/>
  <c r="E778" i="1" a="1"/>
  <c r="E778" i="1" s="1"/>
  <c r="E779" i="1" a="1"/>
  <c r="E779" i="1"/>
  <c r="E780" i="1" a="1"/>
  <c r="E780" i="1" s="1"/>
  <c r="E781" i="1" a="1"/>
  <c r="E781" i="1"/>
  <c r="E782" i="1" a="1"/>
  <c r="E782" i="1" s="1"/>
  <c r="E783" i="1" a="1"/>
  <c r="E783" i="1" s="1"/>
  <c r="E784" i="1" a="1"/>
  <c r="E784" i="1" s="1"/>
  <c r="E785" i="1" a="1"/>
  <c r="E785" i="1"/>
  <c r="E786" i="1" a="1"/>
  <c r="E786" i="1" s="1"/>
  <c r="E787" i="1" a="1"/>
  <c r="E787" i="1"/>
  <c r="E788" i="1" a="1"/>
  <c r="E788" i="1" s="1"/>
  <c r="E789" i="1" a="1"/>
  <c r="E789" i="1"/>
  <c r="E790" i="1" a="1"/>
  <c r="E790" i="1" s="1"/>
  <c r="E791" i="1" a="1"/>
  <c r="E791" i="1" s="1"/>
  <c r="E792" i="1" a="1"/>
  <c r="E792" i="1" s="1"/>
  <c r="E793" i="1" a="1"/>
  <c r="E793" i="1"/>
  <c r="E794" i="1" a="1"/>
  <c r="E794" i="1" s="1"/>
  <c r="E795" i="1" a="1"/>
  <c r="E795" i="1"/>
  <c r="E796" i="1" a="1"/>
  <c r="E796" i="1" s="1"/>
  <c r="E797" i="1" a="1"/>
  <c r="E797" i="1"/>
  <c r="E798" i="1" a="1"/>
  <c r="E798" i="1" s="1"/>
  <c r="E799" i="1" a="1"/>
  <c r="E799" i="1" s="1"/>
  <c r="E800" i="1" a="1"/>
  <c r="E800" i="1" s="1"/>
  <c r="E801" i="1" a="1"/>
  <c r="E801" i="1"/>
  <c r="E802" i="1" a="1"/>
  <c r="E802" i="1" s="1"/>
  <c r="E803" i="1" a="1"/>
  <c r="E803" i="1"/>
  <c r="E804" i="1" a="1"/>
  <c r="E804" i="1" s="1"/>
  <c r="E805" i="1" a="1"/>
  <c r="E805" i="1"/>
  <c r="E806" i="1" a="1"/>
  <c r="E806" i="1" s="1"/>
  <c r="E807" i="1" a="1"/>
  <c r="E807" i="1" s="1"/>
  <c r="E808" i="1" a="1"/>
  <c r="E808" i="1" s="1"/>
  <c r="E809" i="1" a="1"/>
  <c r="E809" i="1"/>
  <c r="E810" i="1" a="1"/>
  <c r="E810" i="1" s="1"/>
  <c r="E811" i="1" a="1"/>
  <c r="E811" i="1"/>
  <c r="E812" i="1" a="1"/>
  <c r="E812" i="1" s="1"/>
  <c r="E813" i="1" a="1"/>
  <c r="E813" i="1"/>
  <c r="E814" i="1" a="1"/>
  <c r="E814" i="1" s="1"/>
  <c r="E815" i="1" a="1"/>
  <c r="E815" i="1" s="1"/>
  <c r="E816" i="1" a="1"/>
  <c r="E816" i="1" s="1"/>
  <c r="E817" i="1" a="1"/>
  <c r="E817" i="1"/>
  <c r="E818" i="1" a="1"/>
  <c r="E818" i="1" s="1"/>
  <c r="E819" i="1" a="1"/>
  <c r="E819" i="1"/>
  <c r="E820" i="1" a="1"/>
  <c r="E820" i="1" s="1"/>
  <c r="E821" i="1" a="1"/>
  <c r="E821" i="1"/>
  <c r="E822" i="1" a="1"/>
  <c r="E822" i="1" s="1"/>
  <c r="E823" i="1" a="1"/>
  <c r="E823" i="1" s="1"/>
  <c r="E824" i="1" a="1"/>
  <c r="E824" i="1" s="1"/>
  <c r="E825" i="1" a="1"/>
  <c r="E825" i="1"/>
  <c r="E826" i="1" a="1"/>
  <c r="E826" i="1" s="1"/>
  <c r="E827" i="1" a="1"/>
  <c r="E827" i="1"/>
  <c r="E828" i="1" a="1"/>
  <c r="E828" i="1" s="1"/>
  <c r="E829" i="1" a="1"/>
  <c r="E829" i="1"/>
  <c r="E830" i="1" a="1"/>
  <c r="E830" i="1" s="1"/>
  <c r="E831" i="1" a="1"/>
  <c r="E831" i="1" s="1"/>
  <c r="E832" i="1" a="1"/>
  <c r="E832" i="1" s="1"/>
  <c r="E833" i="1" a="1"/>
  <c r="E833" i="1"/>
  <c r="E834" i="1" a="1"/>
  <c r="E834" i="1" s="1"/>
  <c r="E835" i="1" a="1"/>
  <c r="E835" i="1"/>
  <c r="E836" i="1" a="1"/>
  <c r="E836" i="1" s="1"/>
  <c r="E837" i="1" a="1"/>
  <c r="E837" i="1"/>
  <c r="E838" i="1" a="1"/>
  <c r="E838" i="1" s="1"/>
  <c r="E839" i="1" a="1"/>
  <c r="E839" i="1" s="1"/>
  <c r="E840" i="1" a="1"/>
  <c r="E840" i="1" s="1"/>
  <c r="E841" i="1" a="1"/>
  <c r="E841" i="1"/>
  <c r="E842" i="1" a="1"/>
  <c r="E842" i="1" s="1"/>
  <c r="E843" i="1" a="1"/>
  <c r="E843" i="1"/>
  <c r="E844" i="1" a="1"/>
  <c r="E844" i="1" s="1"/>
  <c r="E845" i="1" a="1"/>
  <c r="E845" i="1"/>
  <c r="E846" i="1" a="1"/>
  <c r="E846" i="1" s="1"/>
  <c r="E847" i="1" a="1"/>
  <c r="E847" i="1" s="1"/>
  <c r="E848" i="1" a="1"/>
  <c r="E848" i="1"/>
  <c r="E849" i="1" a="1"/>
  <c r="E849" i="1" s="1"/>
  <c r="E850" i="1" a="1"/>
  <c r="E850" i="1"/>
  <c r="E851" i="1" a="1"/>
  <c r="E851" i="1" s="1"/>
  <c r="E852" i="1" a="1"/>
  <c r="E852" i="1"/>
  <c r="E853" i="1" a="1"/>
  <c r="E853" i="1" s="1"/>
  <c r="E854" i="1" a="1"/>
  <c r="E854" i="1"/>
  <c r="E855" i="1" a="1"/>
  <c r="E855" i="1" s="1"/>
  <c r="E856" i="1" a="1"/>
  <c r="E856" i="1"/>
  <c r="E857" i="1" a="1"/>
  <c r="E857" i="1" s="1"/>
  <c r="E858" i="1" a="1"/>
  <c r="E858" i="1"/>
  <c r="E859" i="1" a="1"/>
  <c r="E859" i="1" s="1"/>
  <c r="E860" i="1" a="1"/>
  <c r="E860" i="1"/>
  <c r="E861" i="1" a="1"/>
  <c r="E861" i="1" s="1"/>
  <c r="E862" i="1" a="1"/>
  <c r="E862" i="1"/>
  <c r="E863" i="1" a="1"/>
  <c r="E863" i="1" s="1"/>
  <c r="E864" i="1" a="1"/>
  <c r="E864" i="1"/>
  <c r="E865" i="1" a="1"/>
  <c r="E865" i="1" s="1"/>
  <c r="E866" i="1" a="1"/>
  <c r="E866" i="1"/>
  <c r="E867" i="1" a="1"/>
  <c r="E867" i="1" s="1"/>
  <c r="E868" i="1" a="1"/>
  <c r="E868" i="1"/>
  <c r="E869" i="1" a="1"/>
  <c r="E869" i="1" s="1"/>
  <c r="E870" i="1" a="1"/>
  <c r="E870" i="1"/>
  <c r="E871" i="1" a="1"/>
  <c r="E871" i="1" s="1"/>
  <c r="E872" i="1" a="1"/>
  <c r="E872" i="1"/>
  <c r="E873" i="1" a="1"/>
  <c r="E873" i="1" s="1"/>
  <c r="E874" i="1" a="1"/>
  <c r="E874" i="1"/>
  <c r="E875" i="1" a="1"/>
  <c r="E875" i="1" s="1"/>
  <c r="E876" i="1" a="1"/>
  <c r="E876" i="1"/>
  <c r="E877" i="1" a="1"/>
  <c r="E877" i="1" s="1"/>
  <c r="E878" i="1" a="1"/>
  <c r="E878" i="1"/>
  <c r="E879" i="1" a="1"/>
  <c r="E879" i="1" s="1"/>
  <c r="E880" i="1" a="1"/>
  <c r="E880" i="1"/>
  <c r="E881" i="1" a="1"/>
  <c r="E881" i="1" s="1"/>
  <c r="E882" i="1" a="1"/>
  <c r="E882" i="1"/>
  <c r="E883" i="1" a="1"/>
  <c r="E883" i="1" s="1"/>
  <c r="E884" i="1" a="1"/>
  <c r="E884" i="1"/>
  <c r="E885" i="1" a="1"/>
  <c r="E885" i="1" s="1"/>
  <c r="E886" i="1" a="1"/>
  <c r="E886" i="1"/>
  <c r="E887" i="1" a="1"/>
  <c r="E887" i="1" s="1"/>
  <c r="E888" i="1" a="1"/>
  <c r="E888" i="1"/>
  <c r="E889" i="1" a="1"/>
  <c r="E889" i="1" s="1"/>
  <c r="E890" i="1" a="1"/>
  <c r="E890" i="1"/>
  <c r="E891" i="1" a="1"/>
  <c r="E891" i="1" s="1"/>
  <c r="E892" i="1" a="1"/>
  <c r="E892" i="1"/>
  <c r="E893" i="1" a="1"/>
  <c r="E893" i="1" s="1"/>
  <c r="E894" i="1" a="1"/>
  <c r="E894" i="1"/>
  <c r="E895" i="1" a="1"/>
  <c r="E895" i="1" s="1"/>
  <c r="E896" i="1" a="1"/>
  <c r="E896" i="1"/>
  <c r="E897" i="1" a="1"/>
  <c r="E897" i="1" s="1"/>
  <c r="E898" i="1" a="1"/>
  <c r="E898" i="1"/>
  <c r="E899" i="1" a="1"/>
  <c r="E899" i="1" s="1"/>
  <c r="E900" i="1" a="1"/>
  <c r="E900" i="1"/>
  <c r="E901" i="1" a="1"/>
  <c r="E901" i="1" s="1"/>
  <c r="E902" i="1" a="1"/>
  <c r="E902" i="1"/>
  <c r="E903" i="1" a="1"/>
  <c r="E903" i="1" s="1"/>
  <c r="E904" i="1" a="1"/>
  <c r="E904" i="1"/>
  <c r="E905" i="1" a="1"/>
  <c r="E905" i="1" s="1"/>
  <c r="E906" i="1" a="1"/>
  <c r="E906" i="1"/>
  <c r="E907" i="1" a="1"/>
  <c r="E907" i="1" s="1"/>
  <c r="E908" i="1" a="1"/>
  <c r="E908" i="1"/>
  <c r="E909" i="1" a="1"/>
  <c r="E909" i="1" s="1"/>
  <c r="E910" i="1" a="1"/>
  <c r="E910" i="1"/>
  <c r="E911" i="1" a="1"/>
  <c r="E911" i="1" s="1"/>
  <c r="E912" i="1" a="1"/>
  <c r="E912" i="1"/>
  <c r="E913" i="1" a="1"/>
  <c r="E913" i="1" s="1"/>
  <c r="E914" i="1" a="1"/>
  <c r="E914" i="1"/>
  <c r="E915" i="1" a="1"/>
  <c r="E915" i="1" s="1"/>
  <c r="E916" i="1" a="1"/>
  <c r="E916" i="1"/>
  <c r="E917" i="1" a="1"/>
  <c r="E917" i="1" s="1"/>
  <c r="E918" i="1" a="1"/>
  <c r="E918" i="1"/>
  <c r="E919" i="1" a="1"/>
  <c r="E919" i="1" s="1"/>
  <c r="E920" i="1" a="1"/>
  <c r="E920" i="1"/>
  <c r="E921" i="1" a="1"/>
  <c r="E921" i="1" s="1"/>
  <c r="E922" i="1" a="1"/>
  <c r="E922" i="1"/>
  <c r="E923" i="1" a="1"/>
  <c r="E923" i="1" s="1"/>
  <c r="E924" i="1" a="1"/>
  <c r="E924" i="1"/>
  <c r="E925" i="1" a="1"/>
  <c r="E925" i="1" s="1"/>
  <c r="E926" i="1" a="1"/>
  <c r="E926" i="1"/>
  <c r="E927" i="1" a="1"/>
  <c r="E927" i="1" s="1"/>
  <c r="E928" i="1" a="1"/>
  <c r="E928" i="1"/>
  <c r="E929" i="1" a="1"/>
  <c r="E929" i="1" s="1"/>
  <c r="E930" i="1" a="1"/>
  <c r="E930" i="1"/>
  <c r="E931" i="1" a="1"/>
  <c r="E931" i="1" s="1"/>
  <c r="E932" i="1" a="1"/>
  <c r="E932" i="1"/>
  <c r="E933" i="1" a="1"/>
  <c r="E933" i="1" s="1"/>
  <c r="E934" i="1" a="1"/>
  <c r="E934" i="1"/>
  <c r="E935" i="1" a="1"/>
  <c r="E935" i="1" s="1"/>
  <c r="E936" i="1" a="1"/>
  <c r="E936" i="1"/>
  <c r="E937" i="1" a="1"/>
  <c r="E937" i="1" s="1"/>
  <c r="E938" i="1" a="1"/>
  <c r="E938" i="1"/>
  <c r="E939" i="1" a="1"/>
  <c r="E939" i="1" s="1"/>
  <c r="E940" i="1" a="1"/>
  <c r="E940" i="1"/>
  <c r="E941" i="1" a="1"/>
  <c r="E941" i="1" s="1"/>
  <c r="E942" i="1" a="1"/>
  <c r="E942" i="1"/>
  <c r="E943" i="1" a="1"/>
  <c r="E943" i="1" s="1"/>
  <c r="E944" i="1" a="1"/>
  <c r="E944" i="1"/>
  <c r="E945" i="1" a="1"/>
  <c r="E945" i="1" s="1"/>
  <c r="E946" i="1" a="1"/>
  <c r="E946" i="1"/>
  <c r="E947" i="1" a="1"/>
  <c r="E947" i="1" s="1"/>
  <c r="E948" i="1" a="1"/>
  <c r="E948" i="1"/>
  <c r="E949" i="1" a="1"/>
  <c r="E949" i="1" s="1"/>
  <c r="E950" i="1" a="1"/>
  <c r="E950" i="1"/>
  <c r="E951" i="1" a="1"/>
  <c r="E951" i="1" s="1"/>
  <c r="E952" i="1" a="1"/>
  <c r="E952" i="1"/>
  <c r="E953" i="1" a="1"/>
  <c r="E953" i="1" s="1"/>
  <c r="E954" i="1" a="1"/>
  <c r="E954" i="1"/>
  <c r="E955" i="1" a="1"/>
  <c r="E955" i="1" s="1"/>
  <c r="E956" i="1" a="1"/>
  <c r="E956" i="1" s="1"/>
  <c r="E957" i="1" a="1"/>
  <c r="E957" i="1"/>
  <c r="E958" i="1" a="1"/>
  <c r="E958" i="1" s="1"/>
  <c r="E959" i="1" a="1"/>
  <c r="E959" i="1"/>
  <c r="E960" i="1" a="1"/>
  <c r="E960" i="1" s="1"/>
  <c r="E961" i="1" a="1"/>
  <c r="E961" i="1" s="1"/>
  <c r="E962" i="1" a="1"/>
  <c r="E962" i="1" s="1"/>
  <c r="E963" i="1" a="1"/>
  <c r="E963" i="1" s="1"/>
  <c r="E964" i="1" a="1"/>
  <c r="E964" i="1" s="1"/>
  <c r="E965" i="1" a="1"/>
  <c r="E965" i="1"/>
  <c r="E966" i="1" a="1"/>
  <c r="E966" i="1" s="1"/>
  <c r="E967" i="1" a="1"/>
  <c r="E967" i="1"/>
  <c r="E968" i="1" a="1"/>
  <c r="E968" i="1" s="1"/>
  <c r="E969" i="1" a="1"/>
  <c r="E969" i="1" s="1"/>
  <c r="E970" i="1" a="1"/>
  <c r="E970" i="1" s="1"/>
  <c r="E971" i="1" a="1"/>
  <c r="E971" i="1" s="1"/>
  <c r="E972" i="1" a="1"/>
  <c r="E972" i="1" s="1"/>
  <c r="E973" i="1" a="1"/>
  <c r="E973" i="1"/>
  <c r="E974" i="1" a="1"/>
  <c r="E974" i="1" s="1"/>
  <c r="E975" i="1" a="1"/>
  <c r="E975" i="1"/>
  <c r="E976" i="1" a="1"/>
  <c r="E976" i="1" s="1"/>
  <c r="E977" i="1" a="1"/>
  <c r="E977" i="1"/>
  <c r="E978" i="1" a="1"/>
  <c r="E978" i="1" s="1"/>
  <c r="E979" i="1" a="1"/>
  <c r="E979" i="1"/>
  <c r="E980" i="1" a="1"/>
  <c r="E980" i="1" s="1"/>
  <c r="E981" i="1" a="1"/>
  <c r="E981" i="1"/>
  <c r="E982" i="1" a="1"/>
  <c r="E982" i="1" s="1"/>
  <c r="E983" i="1" a="1"/>
  <c r="E983" i="1"/>
  <c r="E984" i="1" a="1"/>
  <c r="E984" i="1" s="1"/>
  <c r="E985" i="1" a="1"/>
  <c r="E985" i="1"/>
  <c r="E986" i="1" a="1"/>
  <c r="E986" i="1" s="1"/>
  <c r="E987" i="1" a="1"/>
  <c r="E987" i="1"/>
  <c r="E988" i="1" a="1"/>
  <c r="E988" i="1" s="1"/>
  <c r="E989" i="1" a="1"/>
  <c r="E989" i="1"/>
  <c r="E990" i="1" a="1"/>
  <c r="E990" i="1" s="1"/>
  <c r="E991" i="1" a="1"/>
  <c r="E991" i="1"/>
  <c r="E992" i="1" a="1"/>
  <c r="E992" i="1" s="1"/>
  <c r="E993" i="1" a="1"/>
  <c r="E993" i="1"/>
  <c r="E994" i="1" a="1"/>
  <c r="E994" i="1" s="1"/>
  <c r="E995" i="1" a="1"/>
  <c r="E995" i="1"/>
  <c r="E996" i="1" a="1"/>
  <c r="E996" i="1" s="1"/>
  <c r="E997" i="1" a="1"/>
  <c r="E997" i="1"/>
  <c r="E998" i="1" a="1"/>
  <c r="E998" i="1" s="1"/>
  <c r="E999" i="1" a="1"/>
  <c r="E999" i="1"/>
  <c r="E1000" i="1" a="1"/>
  <c r="E1000" i="1" s="1"/>
  <c r="E1001" i="1" a="1"/>
  <c r="E1001" i="1"/>
  <c r="E1002" i="1" a="1"/>
  <c r="E1002" i="1" s="1"/>
  <c r="E1003" i="1" a="1"/>
  <c r="E1003" i="1"/>
  <c r="E1004" i="1" a="1"/>
  <c r="E1004" i="1" s="1"/>
  <c r="E1005" i="1" a="1"/>
  <c r="E1005" i="1"/>
  <c r="E1006" i="1" a="1"/>
  <c r="E1006" i="1" s="1"/>
  <c r="E1007" i="1" a="1"/>
  <c r="E1007" i="1"/>
  <c r="E1008" i="1" a="1"/>
  <c r="E1008" i="1" s="1"/>
  <c r="E1009" i="1" a="1"/>
  <c r="E1009" i="1"/>
  <c r="E1010" i="1" a="1"/>
  <c r="E1010" i="1" s="1"/>
  <c r="E1011" i="1" a="1"/>
  <c r="E1011" i="1"/>
  <c r="E1012" i="1" a="1"/>
  <c r="E1012" i="1" s="1"/>
  <c r="E1013" i="1" a="1"/>
  <c r="E1013" i="1"/>
  <c r="E1014" i="1" a="1"/>
  <c r="E1014" i="1" s="1"/>
  <c r="E1015" i="1" a="1"/>
  <c r="E1015" i="1"/>
  <c r="E1016" i="1" a="1"/>
  <c r="E1016" i="1" s="1"/>
  <c r="E1017" i="1" a="1"/>
  <c r="E1017" i="1"/>
  <c r="E1018" i="1" a="1"/>
  <c r="E1018" i="1" s="1"/>
  <c r="E1019" i="1" a="1"/>
  <c r="E1019" i="1"/>
  <c r="E1020" i="1" a="1"/>
  <c r="E1020" i="1" s="1"/>
  <c r="E1021" i="1" a="1"/>
  <c r="E1021" i="1"/>
  <c r="E1022" i="1" a="1"/>
  <c r="E1022" i="1" s="1"/>
  <c r="E1023" i="1" a="1"/>
  <c r="E1023" i="1"/>
  <c r="E1024" i="1" a="1"/>
  <c r="E1024" i="1" s="1"/>
  <c r="E1025" i="1" a="1"/>
  <c r="E1025" i="1"/>
  <c r="E1026" i="1" a="1"/>
  <c r="E1026" i="1" s="1"/>
  <c r="E1027" i="1" a="1"/>
  <c r="E1027" i="1"/>
  <c r="E1028" i="1" a="1"/>
  <c r="E1028" i="1" s="1"/>
  <c r="E1029" i="1" a="1"/>
  <c r="E1029" i="1"/>
  <c r="E1030" i="1" a="1"/>
  <c r="E1030" i="1" s="1"/>
  <c r="E1031" i="1" a="1"/>
  <c r="E1031" i="1"/>
  <c r="E1032" i="1" a="1"/>
  <c r="E1032" i="1" s="1"/>
  <c r="E1033" i="1" a="1"/>
  <c r="E1033" i="1"/>
  <c r="E1034" i="1" a="1"/>
  <c r="E1034" i="1" s="1"/>
  <c r="E1035" i="1" a="1"/>
  <c r="E1035" i="1"/>
  <c r="E1036" i="1" a="1"/>
  <c r="E1036" i="1" s="1"/>
  <c r="E1037" i="1" a="1"/>
  <c r="E1037" i="1"/>
  <c r="E1038" i="1" a="1"/>
  <c r="E1038" i="1" s="1"/>
  <c r="E1039" i="1" a="1"/>
  <c r="E1039" i="1"/>
  <c r="E1040" i="1" a="1"/>
  <c r="E1040" i="1" s="1"/>
  <c r="E1041" i="1" a="1"/>
  <c r="E1041" i="1"/>
  <c r="E1042" i="1" a="1"/>
  <c r="E1042" i="1" s="1"/>
  <c r="E1043" i="1" a="1"/>
  <c r="E1043" i="1"/>
  <c r="E1044" i="1" a="1"/>
  <c r="E1044" i="1" s="1"/>
  <c r="E1045" i="1" a="1"/>
  <c r="E1045" i="1"/>
  <c r="E1046" i="1" a="1"/>
  <c r="E1046" i="1" s="1"/>
  <c r="E1047" i="1" a="1"/>
  <c r="E1047" i="1"/>
  <c r="E1048" i="1" a="1"/>
  <c r="E1048" i="1" s="1"/>
  <c r="E1049" i="1" a="1"/>
  <c r="E1049" i="1"/>
  <c r="E1050" i="1" a="1"/>
  <c r="E1050" i="1" s="1"/>
  <c r="E1051" i="1" a="1"/>
  <c r="E1051" i="1"/>
  <c r="E1052" i="1" a="1"/>
  <c r="E1052" i="1" s="1"/>
  <c r="E1053" i="1" a="1"/>
  <c r="E1053" i="1"/>
  <c r="E1054" i="1" a="1"/>
  <c r="E1054" i="1" s="1"/>
  <c r="E1055" i="1" a="1"/>
  <c r="E1055" i="1"/>
  <c r="E1056" i="1" a="1"/>
  <c r="E1056" i="1" s="1"/>
  <c r="E1057" i="1" a="1"/>
  <c r="E1057" i="1"/>
  <c r="E1058" i="1" a="1"/>
  <c r="E1058" i="1" s="1"/>
  <c r="E1059" i="1" a="1"/>
  <c r="E1059" i="1"/>
  <c r="E1060" i="1" a="1"/>
  <c r="E1060" i="1" s="1"/>
  <c r="E1061" i="1" a="1"/>
  <c r="E1061" i="1"/>
  <c r="E1062" i="1" a="1"/>
  <c r="E1062" i="1" s="1"/>
  <c r="E1063" i="1" a="1"/>
  <c r="E1063" i="1"/>
  <c r="E1064" i="1" a="1"/>
  <c r="E1064" i="1" s="1"/>
  <c r="E1065" i="1" a="1"/>
  <c r="E1065" i="1"/>
  <c r="E1066" i="1" a="1"/>
  <c r="E1066" i="1" s="1"/>
  <c r="E1067" i="1" a="1"/>
  <c r="E1067" i="1"/>
  <c r="E1068" i="1" a="1"/>
  <c r="E1068" i="1" s="1"/>
  <c r="E1069" i="1" a="1"/>
  <c r="E1069" i="1"/>
  <c r="E1070" i="1" a="1"/>
  <c r="E1070" i="1" s="1"/>
  <c r="E1071" i="1" a="1"/>
  <c r="E1071" i="1"/>
  <c r="E1072" i="1" a="1"/>
  <c r="E1072" i="1" s="1"/>
  <c r="E1073" i="1" a="1"/>
  <c r="E1073" i="1"/>
  <c r="E1074" i="1" a="1"/>
  <c r="E1074" i="1" s="1"/>
  <c r="E1075" i="1" a="1"/>
  <c r="E1075" i="1"/>
  <c r="E1076" i="1" a="1"/>
  <c r="E1076" i="1" s="1"/>
  <c r="E1077" i="1" a="1"/>
  <c r="E1077" i="1"/>
  <c r="E1078" i="1" a="1"/>
  <c r="E1078" i="1" s="1"/>
  <c r="E1079" i="1" a="1"/>
  <c r="E1079" i="1"/>
  <c r="E1080" i="1" a="1"/>
  <c r="E1080" i="1" s="1"/>
  <c r="E1081" i="1" a="1"/>
  <c r="E1081" i="1"/>
  <c r="E1082" i="1" a="1"/>
  <c r="E1082" i="1" s="1"/>
  <c r="E1083" i="1" a="1"/>
  <c r="E1083" i="1"/>
  <c r="E1084" i="1" a="1"/>
  <c r="E1084" i="1" s="1"/>
  <c r="E1085" i="1" a="1"/>
  <c r="E1085" i="1"/>
  <c r="E1086" i="1" a="1"/>
  <c r="E1086" i="1" s="1"/>
  <c r="E1087" i="1" a="1"/>
  <c r="E1087" i="1"/>
  <c r="E1088" i="1" a="1"/>
  <c r="E1088" i="1" s="1"/>
  <c r="E1089" i="1" a="1"/>
  <c r="E1089" i="1"/>
  <c r="E1090" i="1" a="1"/>
  <c r="E1090" i="1" s="1"/>
  <c r="E1091" i="1" a="1"/>
  <c r="E1091" i="1"/>
  <c r="E1092" i="1" a="1"/>
  <c r="E1092" i="1" s="1"/>
  <c r="E1093" i="1" a="1"/>
  <c r="E1093" i="1"/>
  <c r="E1094" i="1" a="1"/>
  <c r="E1094" i="1" s="1"/>
  <c r="E1095" i="1" a="1"/>
  <c r="E1095" i="1"/>
  <c r="E1096" i="1" a="1"/>
  <c r="E1096" i="1" s="1"/>
  <c r="E1097" i="1" a="1"/>
  <c r="E1097" i="1"/>
  <c r="E1098" i="1" a="1"/>
  <c r="E1098" i="1" s="1"/>
  <c r="E1099" i="1" a="1"/>
  <c r="E1099" i="1"/>
  <c r="E1100" i="1" a="1"/>
  <c r="E1100" i="1" s="1"/>
  <c r="E1101" i="1" a="1"/>
  <c r="E1101" i="1"/>
  <c r="E1102" i="1" a="1"/>
  <c r="E1102" i="1" s="1"/>
  <c r="E1103" i="1" a="1"/>
  <c r="E1103" i="1"/>
  <c r="E1104" i="1" a="1"/>
  <c r="E1104" i="1" s="1"/>
  <c r="E1105" i="1" a="1"/>
  <c r="E1105" i="1"/>
  <c r="E1106" i="1" a="1"/>
  <c r="E1106" i="1" s="1"/>
  <c r="E1107" i="1" a="1"/>
  <c r="E1107" i="1"/>
  <c r="E1108" i="1" a="1"/>
  <c r="E1108" i="1" s="1"/>
  <c r="E1109" i="1" a="1"/>
  <c r="E1109" i="1"/>
  <c r="E1110" i="1" a="1"/>
  <c r="E1110" i="1" s="1"/>
  <c r="E1111" i="1" a="1"/>
  <c r="E1111" i="1"/>
  <c r="E1112" i="1" a="1"/>
  <c r="E1112" i="1" s="1"/>
  <c r="E1113" i="1" a="1"/>
  <c r="E1113" i="1"/>
  <c r="E1114" i="1" a="1"/>
  <c r="E1114" i="1" s="1"/>
  <c r="E1115" i="1" a="1"/>
  <c r="E1115" i="1"/>
  <c r="E1116" i="1" a="1"/>
  <c r="E1116" i="1" s="1"/>
  <c r="E1117" i="1" a="1"/>
  <c r="E1117" i="1"/>
  <c r="E1118" i="1" a="1"/>
  <c r="E1118" i="1" s="1"/>
  <c r="E1119" i="1" a="1"/>
  <c r="E1119" i="1"/>
  <c r="E1120" i="1" a="1"/>
  <c r="E1120" i="1" s="1"/>
  <c r="E1121" i="1" a="1"/>
  <c r="E1121" i="1"/>
  <c r="E1122" i="1" a="1"/>
  <c r="E1122" i="1" s="1"/>
  <c r="E1123" i="1" a="1"/>
  <c r="E1123" i="1"/>
  <c r="E1124" i="1" a="1"/>
  <c r="E1124" i="1" s="1"/>
  <c r="E1125" i="1" a="1"/>
  <c r="E1125" i="1"/>
  <c r="E1126" i="1" a="1"/>
  <c r="E1126" i="1" s="1"/>
  <c r="E1127" i="1" a="1"/>
  <c r="E1127" i="1"/>
  <c r="E1128" i="1" a="1"/>
  <c r="E1128" i="1" s="1"/>
  <c r="E1129" i="1" a="1"/>
  <c r="E1129" i="1"/>
  <c r="E1130" i="1" a="1"/>
  <c r="E1130" i="1" s="1"/>
  <c r="E1131" i="1" a="1"/>
  <c r="E1131" i="1"/>
  <c r="E1132" i="1" a="1"/>
  <c r="E1132" i="1" s="1"/>
  <c r="E1133" i="1" a="1"/>
  <c r="E1133" i="1"/>
  <c r="E1134" i="1" a="1"/>
  <c r="E1134" i="1" s="1"/>
  <c r="E1135" i="1" a="1"/>
  <c r="E1135" i="1"/>
  <c r="E1136" i="1" a="1"/>
  <c r="E1136" i="1" s="1"/>
  <c r="E1137" i="1" a="1"/>
  <c r="E1137" i="1"/>
  <c r="E1138" i="1" a="1"/>
  <c r="E1138" i="1" s="1"/>
  <c r="E1139" i="1" a="1"/>
  <c r="E1139" i="1"/>
  <c r="E1140" i="1" a="1"/>
  <c r="E1140" i="1" s="1"/>
  <c r="E1141" i="1" a="1"/>
  <c r="E1141" i="1"/>
  <c r="E1142" i="1" a="1"/>
  <c r="E1142" i="1" s="1"/>
  <c r="E1143" i="1" a="1"/>
  <c r="E1143" i="1"/>
  <c r="E1144" i="1" a="1"/>
  <c r="E1144" i="1" s="1"/>
  <c r="E1145" i="1" a="1"/>
  <c r="E1145" i="1"/>
  <c r="E1146" i="1" a="1"/>
  <c r="E1146" i="1" s="1"/>
  <c r="E1147" i="1" a="1"/>
  <c r="E1147" i="1"/>
  <c r="E1148" i="1" a="1"/>
  <c r="E1148" i="1" s="1"/>
  <c r="E1149" i="1" a="1"/>
  <c r="E1149" i="1"/>
  <c r="E1150" i="1" a="1"/>
  <c r="E1150" i="1" s="1"/>
  <c r="E1151" i="1" a="1"/>
  <c r="E1151" i="1"/>
  <c r="E1152" i="1" a="1"/>
  <c r="E1152" i="1" s="1"/>
  <c r="E1153" i="1" a="1"/>
  <c r="E1153" i="1"/>
  <c r="E1154" i="1" a="1"/>
  <c r="E1154" i="1" s="1"/>
  <c r="E1155" i="1" a="1"/>
  <c r="E1155" i="1"/>
  <c r="E1156" i="1" a="1"/>
  <c r="E1156" i="1" s="1"/>
  <c r="E1157" i="1" a="1"/>
  <c r="E1157" i="1"/>
  <c r="E1158" i="1" a="1"/>
  <c r="E1158" i="1" s="1"/>
  <c r="E1159" i="1" a="1"/>
  <c r="E1159" i="1"/>
  <c r="E1160" i="1" a="1"/>
  <c r="E1160" i="1" s="1"/>
  <c r="E1161" i="1" a="1"/>
  <c r="E1161" i="1"/>
  <c r="E1162" i="1" a="1"/>
  <c r="E1162" i="1" s="1"/>
  <c r="E1163" i="1" a="1"/>
  <c r="E1163" i="1"/>
  <c r="E1164" i="1" a="1"/>
  <c r="E1164" i="1" s="1"/>
  <c r="E1165" i="1" a="1"/>
  <c r="E1165" i="1"/>
  <c r="E1166" i="1" a="1"/>
  <c r="E1166" i="1" s="1"/>
  <c r="E1167" i="1" a="1"/>
  <c r="E1167" i="1"/>
  <c r="E1168" i="1" a="1"/>
  <c r="E1168" i="1" s="1"/>
  <c r="E1169" i="1" a="1"/>
  <c r="E1169" i="1"/>
  <c r="E1170" i="1" a="1"/>
  <c r="E1170" i="1" s="1"/>
  <c r="E1171" i="1" a="1"/>
  <c r="E1171" i="1"/>
  <c r="E1172" i="1" a="1"/>
  <c r="E1172" i="1" s="1"/>
  <c r="E1173" i="1" a="1"/>
  <c r="E1173" i="1"/>
  <c r="E1174" i="1" a="1"/>
  <c r="E1174" i="1" s="1"/>
  <c r="E1175" i="1" a="1"/>
  <c r="E1175" i="1"/>
  <c r="E1176" i="1" a="1"/>
  <c r="E1176" i="1" s="1"/>
  <c r="E1177" i="1" a="1"/>
  <c r="E1177" i="1"/>
  <c r="E1178" i="1" a="1"/>
  <c r="E1178" i="1" s="1"/>
  <c r="E1179" i="1" a="1"/>
  <c r="E1179" i="1"/>
  <c r="E1180" i="1" a="1"/>
  <c r="E1180" i="1" s="1"/>
  <c r="E1181" i="1" a="1"/>
  <c r="E1181" i="1"/>
  <c r="E1182" i="1" a="1"/>
  <c r="E1182" i="1" s="1"/>
  <c r="E1183" i="1" a="1"/>
  <c r="E1183" i="1"/>
  <c r="E1184" i="1" a="1"/>
  <c r="E1184" i="1" s="1"/>
  <c r="E1185" i="1" a="1"/>
  <c r="E1185" i="1"/>
  <c r="E1186" i="1" a="1"/>
  <c r="E1186" i="1" s="1"/>
  <c r="E1187" i="1" a="1"/>
  <c r="E1187" i="1"/>
  <c r="E1188" i="1" a="1"/>
  <c r="E1188" i="1" s="1"/>
  <c r="E1189" i="1" a="1"/>
  <c r="E1189" i="1"/>
  <c r="E1190" i="1" a="1"/>
  <c r="E1190" i="1" s="1"/>
  <c r="E1191" i="1" a="1"/>
  <c r="E1191" i="1"/>
  <c r="E1192" i="1" a="1"/>
  <c r="E1192" i="1" s="1"/>
  <c r="E1193" i="1" a="1"/>
  <c r="E1193" i="1"/>
  <c r="E1194" i="1" a="1"/>
  <c r="E1194" i="1" s="1"/>
  <c r="E1195" i="1" a="1"/>
  <c r="E1195" i="1"/>
  <c r="E1196" i="1" a="1"/>
  <c r="E1196" i="1" s="1"/>
  <c r="E1197" i="1" a="1"/>
  <c r="E1197" i="1"/>
  <c r="E1198" i="1" a="1"/>
  <c r="E1198" i="1" s="1"/>
  <c r="E1199" i="1" a="1"/>
  <c r="E1199" i="1"/>
  <c r="E1200" i="1" a="1"/>
  <c r="E1200" i="1" s="1"/>
  <c r="E1201" i="1" a="1"/>
  <c r="E1201" i="1"/>
  <c r="E1202" i="1" a="1"/>
  <c r="E1202" i="1" s="1"/>
  <c r="E1203" i="1" a="1"/>
  <c r="E1203" i="1"/>
  <c r="E1204" i="1" a="1"/>
  <c r="E1204" i="1" s="1"/>
  <c r="E1205" i="1" a="1"/>
  <c r="E1205" i="1"/>
  <c r="E1206" i="1" a="1"/>
  <c r="E1206" i="1" s="1"/>
  <c r="E1207" i="1" a="1"/>
  <c r="E1207" i="1"/>
  <c r="E1208" i="1" a="1"/>
  <c r="E1208" i="1" s="1"/>
  <c r="E1209" i="1" a="1"/>
  <c r="E1209" i="1"/>
  <c r="E1210" i="1" a="1"/>
  <c r="E1210" i="1" s="1"/>
  <c r="E1211" i="1" a="1"/>
  <c r="E1211" i="1"/>
  <c r="E1212" i="1" a="1"/>
  <c r="E1212" i="1" s="1"/>
  <c r="E1213" i="1" a="1"/>
  <c r="E1213" i="1"/>
  <c r="E1214" i="1" a="1"/>
  <c r="E1214" i="1" s="1"/>
  <c r="E1215" i="1" a="1"/>
  <c r="E1215" i="1"/>
  <c r="E1216" i="1" a="1"/>
  <c r="E1216" i="1" s="1"/>
  <c r="E1217" i="1" a="1"/>
  <c r="E1217" i="1"/>
  <c r="E1218" i="1" a="1"/>
  <c r="E1218" i="1" s="1"/>
  <c r="E1219" i="1" a="1"/>
  <c r="E1219" i="1"/>
  <c r="E1220" i="1" a="1"/>
  <c r="E1220" i="1" s="1"/>
  <c r="E1221" i="1" a="1"/>
  <c r="E1221" i="1"/>
  <c r="E1222" i="1" a="1"/>
  <c r="E1222" i="1" s="1"/>
  <c r="E1223" i="1" a="1"/>
  <c r="E1223" i="1"/>
  <c r="E1224" i="1" a="1"/>
  <c r="E1224" i="1" s="1"/>
  <c r="E1225" i="1" a="1"/>
  <c r="E1225" i="1"/>
  <c r="E1226" i="1" a="1"/>
  <c r="E1226" i="1" s="1"/>
  <c r="E1227" i="1" a="1"/>
  <c r="E1227" i="1"/>
  <c r="E1228" i="1" a="1"/>
  <c r="E1228" i="1" s="1"/>
  <c r="E1229" i="1" a="1"/>
  <c r="E1229" i="1"/>
  <c r="E1230" i="1" a="1"/>
  <c r="E1230" i="1" s="1"/>
  <c r="E1231" i="1" a="1"/>
  <c r="E1231" i="1"/>
  <c r="E1232" i="1" a="1"/>
  <c r="E1232" i="1" s="1"/>
  <c r="E1233" i="1" a="1"/>
  <c r="E1233" i="1"/>
  <c r="E1234" i="1" a="1"/>
  <c r="E1234" i="1" s="1"/>
  <c r="E1235" i="1" a="1"/>
  <c r="E1235" i="1"/>
  <c r="E1236" i="1" a="1"/>
  <c r="E1236" i="1" s="1"/>
  <c r="E1237" i="1" a="1"/>
  <c r="E1237" i="1"/>
  <c r="E1238" i="1" a="1"/>
  <c r="E1238" i="1" s="1"/>
  <c r="E1239" i="1" a="1"/>
  <c r="E1239" i="1"/>
  <c r="E1240" i="1" a="1"/>
  <c r="E1240" i="1" s="1"/>
  <c r="E1241" i="1" a="1"/>
  <c r="E1241" i="1"/>
  <c r="E1242" i="1" a="1"/>
  <c r="E1242" i="1" s="1"/>
  <c r="E1243" i="1" a="1"/>
  <c r="E1243" i="1"/>
  <c r="E1244" i="1" a="1"/>
  <c r="E1244" i="1" s="1"/>
  <c r="E1245" i="1" a="1"/>
  <c r="E1245" i="1"/>
  <c r="E1246" i="1" a="1"/>
  <c r="E1246" i="1" s="1"/>
  <c r="E1247" i="1" a="1"/>
  <c r="E1247" i="1"/>
  <c r="E1248" i="1" a="1"/>
  <c r="E1248" i="1" s="1"/>
  <c r="E1249" i="1" a="1"/>
  <c r="E1249" i="1"/>
  <c r="E1250" i="1" a="1"/>
  <c r="E1250" i="1" s="1"/>
  <c r="E1251" i="1" a="1"/>
  <c r="E1251" i="1"/>
  <c r="E1252" i="1" a="1"/>
  <c r="E1252" i="1" s="1"/>
  <c r="E1253" i="1" a="1"/>
  <c r="E1253" i="1"/>
  <c r="E1254" i="1" a="1"/>
  <c r="E1254" i="1" s="1"/>
  <c r="E1255" i="1" a="1"/>
  <c r="E1255" i="1"/>
  <c r="E1256" i="1" a="1"/>
  <c r="E1256" i="1" s="1"/>
  <c r="E1257" i="1" a="1"/>
  <c r="E1257" i="1"/>
  <c r="E1258" i="1" a="1"/>
  <c r="E1258" i="1" s="1"/>
  <c r="E1259" i="1" a="1"/>
  <c r="E1259" i="1"/>
  <c r="E1260" i="1" a="1"/>
  <c r="E1260" i="1" s="1"/>
  <c r="E1261" i="1" a="1"/>
  <c r="E1261" i="1"/>
  <c r="E1262" i="1" a="1"/>
  <c r="E1262" i="1" s="1"/>
  <c r="E1263" i="1" a="1"/>
  <c r="E1263" i="1"/>
  <c r="E1264" i="1" a="1"/>
  <c r="E1264" i="1" s="1"/>
  <c r="E1265" i="1" a="1"/>
  <c r="E1265" i="1"/>
  <c r="E1266" i="1" a="1"/>
  <c r="E1266" i="1" s="1"/>
  <c r="E1267" i="1" a="1"/>
  <c r="E1267" i="1"/>
  <c r="E1268" i="1" a="1"/>
  <c r="E1268" i="1" s="1"/>
  <c r="E1269" i="1" a="1"/>
  <c r="E1269" i="1"/>
  <c r="E1270" i="1" a="1"/>
  <c r="E1270" i="1" s="1"/>
  <c r="E1271" i="1" a="1"/>
  <c r="E1271" i="1"/>
  <c r="E1272" i="1" a="1"/>
  <c r="E1272" i="1" s="1"/>
  <c r="E1273" i="1" a="1"/>
  <c r="E1273" i="1"/>
  <c r="E1274" i="1" a="1"/>
  <c r="E1274" i="1" s="1"/>
  <c r="E1275" i="1" a="1"/>
  <c r="E1275" i="1"/>
  <c r="E1276" i="1" a="1"/>
  <c r="E1276" i="1" s="1"/>
  <c r="E1277" i="1" a="1"/>
  <c r="E1277" i="1"/>
  <c r="E1278" i="1" a="1"/>
  <c r="E1278" i="1" s="1"/>
  <c r="E1279" i="1" a="1"/>
  <c r="E1279" i="1"/>
  <c r="E1280" i="1" a="1"/>
  <c r="E1280" i="1" s="1"/>
  <c r="E1281" i="1" a="1"/>
  <c r="E1281" i="1"/>
  <c r="E1282" i="1" a="1"/>
  <c r="E1282" i="1" s="1"/>
  <c r="E1283" i="1" a="1"/>
  <c r="E1283" i="1"/>
  <c r="E1284" i="1" a="1"/>
  <c r="E1284" i="1" s="1"/>
  <c r="E1285" i="1" a="1"/>
  <c r="E1285" i="1"/>
  <c r="E1286" i="1" a="1"/>
  <c r="E1286" i="1" s="1"/>
  <c r="E1287" i="1" a="1"/>
  <c r="E1287" i="1"/>
  <c r="E1288" i="1" a="1"/>
  <c r="E1288" i="1" s="1"/>
  <c r="E1289" i="1" a="1"/>
  <c r="E1289" i="1"/>
  <c r="E1290" i="1" a="1"/>
  <c r="E1290" i="1" s="1"/>
  <c r="E1291" i="1" a="1"/>
  <c r="E1291" i="1"/>
  <c r="E1292" i="1" a="1"/>
  <c r="E1292" i="1" s="1"/>
  <c r="E1293" i="1" a="1"/>
  <c r="E1293" i="1"/>
  <c r="E1294" i="1" a="1"/>
  <c r="E1294" i="1" s="1"/>
  <c r="E1295" i="1" a="1"/>
  <c r="E1295" i="1"/>
  <c r="E1296" i="1" a="1"/>
  <c r="E1296" i="1" s="1"/>
  <c r="E1297" i="1" a="1"/>
  <c r="E1297" i="1"/>
  <c r="E1298" i="1" a="1"/>
  <c r="E1298" i="1" s="1"/>
  <c r="E1299" i="1" a="1"/>
  <c r="E1299" i="1"/>
  <c r="E1300" i="1" a="1"/>
  <c r="E1300" i="1" s="1"/>
  <c r="E1301" i="1" a="1"/>
  <c r="E1301" i="1"/>
  <c r="E1302" i="1" a="1"/>
  <c r="E1302" i="1" s="1"/>
  <c r="E1303" i="1" a="1"/>
  <c r="E1303" i="1"/>
  <c r="E1304" i="1" a="1"/>
  <c r="E1304" i="1" s="1"/>
  <c r="E1305" i="1" a="1"/>
  <c r="E1305" i="1"/>
  <c r="E1306" i="1" a="1"/>
  <c r="E1306" i="1" s="1"/>
  <c r="E1307" i="1" a="1"/>
  <c r="E1307" i="1"/>
  <c r="E1308" i="1" a="1"/>
  <c r="E1308" i="1" s="1"/>
  <c r="E1309" i="1" a="1"/>
  <c r="E1309" i="1"/>
  <c r="E1310" i="1" a="1"/>
  <c r="E1310" i="1" s="1"/>
  <c r="E1311" i="1" a="1"/>
  <c r="E1311" i="1"/>
  <c r="E1312" i="1" a="1"/>
  <c r="E1312" i="1" s="1"/>
  <c r="E1313" i="1" a="1"/>
  <c r="E1313" i="1"/>
  <c r="E1314" i="1" a="1"/>
  <c r="E1314" i="1" s="1"/>
  <c r="E1315" i="1" a="1"/>
  <c r="E1315" i="1"/>
  <c r="E1316" i="1" a="1"/>
  <c r="E1316" i="1" s="1"/>
  <c r="E1317" i="1" a="1"/>
  <c r="E1317" i="1"/>
  <c r="E1318" i="1" a="1"/>
  <c r="E1318" i="1" s="1"/>
  <c r="E1319" i="1" a="1"/>
  <c r="E1319" i="1"/>
  <c r="E1320" i="1" a="1"/>
  <c r="E1320" i="1" s="1"/>
  <c r="E1321" i="1" a="1"/>
  <c r="E1321" i="1"/>
  <c r="E1322" i="1" a="1"/>
  <c r="E1322" i="1" s="1"/>
  <c r="E1323" i="1" a="1"/>
  <c r="E1323" i="1"/>
  <c r="E1324" i="1" a="1"/>
  <c r="E1324" i="1" s="1"/>
  <c r="E1325" i="1" a="1"/>
  <c r="E1325" i="1"/>
  <c r="E1326" i="1" a="1"/>
  <c r="E1326" i="1" s="1"/>
  <c r="E1327" i="1" a="1"/>
  <c r="E1327" i="1"/>
  <c r="E1328" i="1" a="1"/>
  <c r="E1328" i="1" s="1"/>
  <c r="E1329" i="1" a="1"/>
  <c r="E1329" i="1"/>
  <c r="E1330" i="1" a="1"/>
  <c r="E1330" i="1" s="1"/>
  <c r="E1331" i="1" a="1"/>
  <c r="E1331" i="1"/>
  <c r="E1332" i="1" a="1"/>
  <c r="E1332" i="1" s="1"/>
  <c r="E1333" i="1" a="1"/>
  <c r="E1333" i="1"/>
  <c r="E1334" i="1" a="1"/>
  <c r="E1334" i="1" s="1"/>
  <c r="E1335" i="1" a="1"/>
  <c r="E1335" i="1"/>
  <c r="E1336" i="1" a="1"/>
  <c r="E1336" i="1" s="1"/>
  <c r="E1337" i="1" a="1"/>
  <c r="E1337" i="1"/>
  <c r="E1338" i="1" a="1"/>
  <c r="E1338" i="1" s="1"/>
  <c r="E1339" i="1" a="1"/>
  <c r="E1339" i="1"/>
  <c r="E1340" i="1" a="1"/>
  <c r="E1340" i="1" s="1"/>
  <c r="E1341" i="1" a="1"/>
  <c r="E1341" i="1"/>
  <c r="E1342" i="1" a="1"/>
  <c r="E1342" i="1" s="1"/>
  <c r="E1343" i="1" a="1"/>
  <c r="E1343" i="1"/>
  <c r="E1344" i="1" a="1"/>
  <c r="E1344" i="1" s="1"/>
  <c r="E1345" i="1" a="1"/>
  <c r="E1345" i="1"/>
  <c r="E1346" i="1" a="1"/>
  <c r="E1346" i="1" s="1"/>
  <c r="E1347" i="1" a="1"/>
  <c r="E1347" i="1"/>
  <c r="E1348" i="1" a="1"/>
  <c r="E1348" i="1" s="1"/>
  <c r="E1349" i="1" a="1"/>
  <c r="E1349" i="1"/>
  <c r="E1350" i="1" a="1"/>
  <c r="E1350" i="1" s="1"/>
  <c r="E1351" i="1" a="1"/>
  <c r="E1351" i="1"/>
  <c r="E1352" i="1" a="1"/>
  <c r="E1352" i="1" s="1"/>
  <c r="E1353" i="1" a="1"/>
  <c r="E1353" i="1"/>
  <c r="E1354" i="1" a="1"/>
  <c r="E1354" i="1" s="1"/>
  <c r="E1355" i="1" a="1"/>
  <c r="E1355" i="1"/>
  <c r="E1356" i="1" a="1"/>
  <c r="E1356" i="1" s="1"/>
  <c r="E1357" i="1" a="1"/>
  <c r="E1357" i="1"/>
  <c r="E1358" i="1" a="1"/>
  <c r="E1358" i="1" s="1"/>
  <c r="E1359" i="1" a="1"/>
  <c r="E1359" i="1"/>
  <c r="E1360" i="1" a="1"/>
  <c r="E1360" i="1" s="1"/>
  <c r="E1361" i="1" a="1"/>
  <c r="E1361" i="1"/>
  <c r="E1362" i="1" a="1"/>
  <c r="E1362" i="1" s="1"/>
  <c r="E1363" i="1" a="1"/>
  <c r="E1363" i="1"/>
  <c r="E1364" i="1" a="1"/>
  <c r="E1364" i="1" s="1"/>
  <c r="E1365" i="1" a="1"/>
  <c r="E1365" i="1"/>
  <c r="E1366" i="1" a="1"/>
  <c r="E1366" i="1" s="1"/>
  <c r="E1367" i="1" a="1"/>
  <c r="E1367" i="1"/>
  <c r="E1368" i="1" a="1"/>
  <c r="E1368" i="1" s="1"/>
  <c r="E1369" i="1" a="1"/>
  <c r="E1369" i="1"/>
  <c r="E1370" i="1" a="1"/>
  <c r="E1370" i="1" s="1"/>
  <c r="E1371" i="1" a="1"/>
  <c r="E1371" i="1"/>
  <c r="E1372" i="1" a="1"/>
  <c r="E1372" i="1" s="1"/>
  <c r="E1373" i="1" a="1"/>
  <c r="E1373" i="1"/>
  <c r="E1374" i="1" a="1"/>
  <c r="E1374" i="1" s="1"/>
  <c r="E1375" i="1" a="1"/>
  <c r="E1375" i="1"/>
  <c r="E1376" i="1" a="1"/>
  <c r="E1376" i="1" s="1"/>
  <c r="E1377" i="1" a="1"/>
  <c r="E1377" i="1"/>
  <c r="E1378" i="1" a="1"/>
  <c r="E1378" i="1" s="1"/>
  <c r="E1379" i="1" a="1"/>
  <c r="E1379" i="1"/>
  <c r="E1380" i="1" a="1"/>
  <c r="E1380" i="1" s="1"/>
  <c r="E1381" i="1" a="1"/>
  <c r="E1381" i="1"/>
  <c r="E1382" i="1" a="1"/>
  <c r="E1382" i="1" s="1"/>
  <c r="E1383" i="1" a="1"/>
  <c r="E1383" i="1"/>
  <c r="E1384" i="1" a="1"/>
  <c r="E1384" i="1" s="1"/>
  <c r="E1385" i="1" a="1"/>
  <c r="E1385" i="1"/>
  <c r="E1386" i="1" a="1"/>
  <c r="E1386" i="1" s="1"/>
  <c r="E1387" i="1" a="1"/>
  <c r="E1387" i="1"/>
  <c r="E1388" i="1" a="1"/>
  <c r="E1388" i="1" s="1"/>
  <c r="E1389" i="1" a="1"/>
  <c r="E1389" i="1"/>
  <c r="E1390" i="1" a="1"/>
  <c r="E1390" i="1" s="1"/>
  <c r="E1391" i="1" a="1"/>
  <c r="E1391" i="1"/>
  <c r="E1392" i="1" a="1"/>
  <c r="E1392" i="1" s="1"/>
  <c r="E1393" i="1" a="1"/>
  <c r="E1393" i="1"/>
  <c r="E1394" i="1" a="1"/>
  <c r="E1394" i="1" s="1"/>
  <c r="E1395" i="1" a="1"/>
  <c r="E1395" i="1"/>
  <c r="E1396" i="1" a="1"/>
  <c r="E1396" i="1" s="1"/>
  <c r="E1397" i="1" a="1"/>
  <c r="E1397" i="1"/>
  <c r="E1398" i="1" a="1"/>
  <c r="E1398" i="1" s="1"/>
  <c r="E1399" i="1" a="1"/>
  <c r="E1399" i="1"/>
  <c r="E1400" i="1" a="1"/>
  <c r="E1400" i="1" s="1"/>
  <c r="E1401" i="1" a="1"/>
  <c r="E1401" i="1"/>
  <c r="E1402" i="1" a="1"/>
  <c r="E1402" i="1" s="1"/>
  <c r="E1403" i="1" a="1"/>
  <c r="E1403" i="1"/>
  <c r="E1404" i="1" a="1"/>
  <c r="E1404" i="1" s="1"/>
  <c r="E1405" i="1" a="1"/>
  <c r="E1405" i="1"/>
  <c r="E1406" i="1" a="1"/>
  <c r="E1406" i="1" s="1"/>
  <c r="E1407" i="1" a="1"/>
  <c r="E1407" i="1"/>
  <c r="E1408" i="1" a="1"/>
  <c r="E1408" i="1" s="1"/>
  <c r="E1409" i="1" a="1"/>
  <c r="E1409" i="1"/>
  <c r="E1410" i="1" a="1"/>
  <c r="E1410" i="1" s="1"/>
  <c r="E1411" i="1" a="1"/>
  <c r="E1411" i="1"/>
  <c r="E1412" i="1" a="1"/>
  <c r="E1412" i="1" s="1"/>
  <c r="E1413" i="1" a="1"/>
  <c r="E1413" i="1"/>
  <c r="E1414" i="1" a="1"/>
  <c r="E1414" i="1" s="1"/>
  <c r="E1415" i="1" a="1"/>
  <c r="E1415" i="1"/>
  <c r="E1416" i="1" a="1"/>
  <c r="E1416" i="1" s="1"/>
  <c r="E1417" i="1" a="1"/>
  <c r="E1417" i="1"/>
  <c r="E1418" i="1" a="1"/>
  <c r="E1418" i="1" s="1"/>
  <c r="E1419" i="1" a="1"/>
  <c r="E1419" i="1"/>
  <c r="E1420" i="1" a="1"/>
  <c r="E1420" i="1" s="1"/>
  <c r="E1421" i="1" a="1"/>
  <c r="E1421" i="1"/>
  <c r="E1422" i="1" a="1"/>
  <c r="E1422" i="1" s="1"/>
  <c r="E1423" i="1" a="1"/>
  <c r="E1423" i="1"/>
  <c r="E1424" i="1" a="1"/>
  <c r="E1424" i="1" s="1"/>
  <c r="E1425" i="1" a="1"/>
  <c r="E1425" i="1"/>
  <c r="E1426" i="1" a="1"/>
  <c r="E1426" i="1" s="1"/>
  <c r="E1427" i="1" a="1"/>
  <c r="E1427" i="1"/>
  <c r="E1428" i="1" a="1"/>
  <c r="E1428" i="1" s="1"/>
  <c r="E1429" i="1" a="1"/>
  <c r="E1429" i="1"/>
  <c r="E1430" i="1" a="1"/>
  <c r="E1430" i="1" s="1"/>
  <c r="E1431" i="1" a="1"/>
  <c r="E1431" i="1"/>
  <c r="E1432" i="1" a="1"/>
  <c r="E1432" i="1" s="1"/>
  <c r="E1433" i="1" a="1"/>
  <c r="E1433" i="1"/>
  <c r="E1434" i="1" a="1"/>
  <c r="E1434" i="1" s="1"/>
  <c r="E1435" i="1" a="1"/>
  <c r="E1435" i="1"/>
  <c r="E1436" i="1" a="1"/>
  <c r="E1436" i="1" s="1"/>
  <c r="E1437" i="1" a="1"/>
  <c r="E1437" i="1"/>
  <c r="E1438" i="1" a="1"/>
  <c r="E1438" i="1" s="1"/>
  <c r="E1439" i="1" a="1"/>
  <c r="E1439" i="1"/>
  <c r="E1440" i="1" a="1"/>
  <c r="E1440" i="1" s="1"/>
  <c r="E1441" i="1" a="1"/>
  <c r="E1441" i="1"/>
  <c r="E1442" i="1" a="1"/>
  <c r="E1442" i="1" s="1"/>
  <c r="E1443" i="1" a="1"/>
  <c r="E1443" i="1"/>
  <c r="E1444" i="1" a="1"/>
  <c r="E1444" i="1" s="1"/>
  <c r="E1445" i="1" a="1"/>
  <c r="E1445" i="1"/>
  <c r="E1446" i="1" a="1"/>
  <c r="E1446" i="1" s="1"/>
  <c r="E1447" i="1" a="1"/>
  <c r="E1447" i="1"/>
  <c r="E1448" i="1" a="1"/>
  <c r="E1448" i="1" s="1"/>
  <c r="E1449" i="1" a="1"/>
  <c r="E1449" i="1"/>
  <c r="E1450" i="1" a="1"/>
  <c r="E1450" i="1" s="1"/>
  <c r="E1451" i="1" a="1"/>
  <c r="E1451" i="1"/>
  <c r="E1452" i="1" a="1"/>
  <c r="E1452" i="1" s="1"/>
  <c r="E1453" i="1" a="1"/>
  <c r="E1453" i="1"/>
  <c r="E1454" i="1" a="1"/>
  <c r="E1454" i="1" s="1"/>
  <c r="E1455" i="1" a="1"/>
  <c r="E1455" i="1"/>
  <c r="E1456" i="1" a="1"/>
  <c r="E1456" i="1" s="1"/>
  <c r="E1457" i="1" a="1"/>
  <c r="E1457" i="1"/>
  <c r="E1458" i="1" a="1"/>
  <c r="E1458" i="1" s="1"/>
  <c r="E1459" i="1" a="1"/>
  <c r="E1459" i="1"/>
  <c r="E1460" i="1" a="1"/>
  <c r="E1460" i="1" s="1"/>
  <c r="E1461" i="1" a="1"/>
  <c r="E1461" i="1"/>
  <c r="E1462" i="1" a="1"/>
  <c r="E1462" i="1" s="1"/>
  <c r="E1463" i="1" a="1"/>
  <c r="E1463" i="1"/>
  <c r="E1464" i="1" a="1"/>
  <c r="E1464" i="1" s="1"/>
  <c r="E1465" i="1" a="1"/>
  <c r="E1465" i="1"/>
  <c r="E1466" i="1" a="1"/>
  <c r="E1466" i="1" s="1"/>
  <c r="E1467" i="1" a="1"/>
  <c r="E1467" i="1"/>
  <c r="E1468" i="1" a="1"/>
  <c r="E1468" i="1" s="1"/>
  <c r="E1469" i="1" a="1"/>
  <c r="E1469" i="1"/>
  <c r="E1470" i="1" a="1"/>
  <c r="E1470" i="1" s="1"/>
  <c r="E1471" i="1" a="1"/>
  <c r="E1471" i="1"/>
  <c r="E1472" i="1" a="1"/>
  <c r="E1472" i="1" s="1"/>
  <c r="E1473" i="1" a="1"/>
  <c r="E1473" i="1"/>
  <c r="E1474" i="1" a="1"/>
  <c r="E1474" i="1" s="1"/>
  <c r="E1475" i="1" a="1"/>
  <c r="E1475" i="1"/>
  <c r="E1476" i="1" a="1"/>
  <c r="E1476" i="1" s="1"/>
  <c r="E1477" i="1" a="1"/>
  <c r="E1477" i="1"/>
  <c r="E1478" i="1" a="1"/>
  <c r="E1478" i="1" s="1"/>
  <c r="E1479" i="1" a="1"/>
  <c r="E1479" i="1"/>
  <c r="E1480" i="1" a="1"/>
  <c r="E1480" i="1" s="1"/>
  <c r="E1481" i="1" a="1"/>
  <c r="E1481" i="1"/>
  <c r="E1482" i="1" a="1"/>
  <c r="E1482" i="1" s="1"/>
  <c r="E1483" i="1" a="1"/>
  <c r="E1483" i="1"/>
  <c r="E1484" i="1" a="1"/>
  <c r="E1484" i="1" s="1"/>
  <c r="E1485" i="1" a="1"/>
  <c r="E1485" i="1"/>
  <c r="E1486" i="1" a="1"/>
  <c r="E1486" i="1" s="1"/>
  <c r="E2" i="1" a="1"/>
  <c r="E2" i="1" s="1"/>
  <c r="C47" i="2"/>
  <c r="C46" i="2"/>
  <c r="C45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C35" i="2" l="1"/>
  <c r="C36" i="2"/>
  <c r="C34" i="2"/>
  <c r="C4" i="2"/>
  <c r="C14" i="2" s="1"/>
  <c r="C20" i="2" l="1"/>
  <c r="C12" i="2"/>
  <c r="C17" i="2"/>
  <c r="C40" i="2"/>
  <c r="B40" i="2" s="1"/>
  <c r="C21" i="2"/>
  <c r="C13" i="2"/>
  <c r="C29" i="2" s="1"/>
  <c r="C24" i="2"/>
  <c r="C16" i="2"/>
  <c r="C23" i="2"/>
  <c r="C19" i="2"/>
  <c r="C15" i="2"/>
  <c r="C8" i="2"/>
  <c r="C22" i="2"/>
  <c r="C18" i="2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<sst xmlns="http://schemas.openxmlformats.org/spreadsheetml/2006/main" count="10466" uniqueCount="168">
  <si>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</si>
  <si>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</si>
  <si>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</si>
  <si>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</si>
  <si>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</si>
  <si>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</si>
  <si>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</si>
  <si>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</si>
  <si>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</si>
  <si>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</si>
  <si>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</si>
  <si>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</si>
  <si>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</si>
  <si>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</si>
  <si>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</si>
  <si>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</si>
  <si>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</si>
  <si>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</si>
  <si>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</si>
  <si>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</si>
  <si>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</si>
  <si>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</si>
  <si>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</si>
  <si>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</si>
  <si>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</si>
  <si>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</si>
  <si>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</si>
  <si>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</si>
  <si>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</si>
  <si>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</si>
  <si>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</si>
  <si>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</si>
  <si>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</si>
  <si>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</si>
  <si>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</si>
  <si>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</si>
  <si>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</si>
  <si>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</si>
  <si>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</si>
  <si>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</si>
  <si>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</si>
  <si>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</si>
  <si>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</si>
  <si>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</si>
  <si>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</si>
  <si>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</si>
  <si>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</si>
  <si>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</si>
  <si>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</si>
  <si>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</si>
  <si>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</si>
  <si>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</si>
  <si>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</si>
  <si>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</si>
  <si>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</si>
  <si>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</si>
  <si>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</si>
  <si>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</si>
  <si>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</si>
  <si>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</si>
  <si>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</si>
  <si>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</si>
  <si>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</si>
  <si>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</si>
  <si>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</si>
  <si>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</si>
  <si>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</si>
  <si>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</si>
  <si>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</si>
  <si>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</si>
  <si>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</si>
  <si>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</si>
  <si>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</si>
  <si>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</si>
  <si>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</si>
  <si>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</si>
  <si>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</si>
  <si>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</si>
  <si>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</si>
  <si>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</si>
  <si>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</si>
  <si>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</si>
  <si>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</si>
  <si>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</si>
  <si>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</si>
  <si>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</si>
  <si>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</si>
  <si>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</si>
  <si>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</si>
  <si>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</si>
  <si>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</si>
  <si>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</si>
  <si>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</si>
  <si>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</si>
  <si>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</si>
  <si>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</si>
  <si>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</si>
  <si>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</si>
  <si>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</si>
  <si>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</si>
  <si>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</si>
  <si>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</si>
  <si>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</si>
  <si>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</si>
  <si>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</si>
  <si>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</si>
  <si>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</si>
  <si>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</si>
  <si>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</si>
  <si>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</si>
  <si>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</si>
  <si>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</si>
  <si>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</si>
  <si>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</si>
  <si>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</si>
  <si>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</si>
  <si>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</si>
  <si>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</si>
  <si>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</si>
  <si>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</si>
  <si>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</si>
  <si>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</si>
  <si>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</si>
  <si>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</si>
  <si>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</si>
  <si>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</si>
  <si>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</si>
  <si>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</si>
  <si>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</si>
  <si>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</si>
  <si>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</si>
  <si>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</si>
  <si>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</si>
  <si>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</si>
  <si>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</si>
  <si>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</si>
  <si>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</si>
  <si>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</si>
  <si>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</si>
  <si>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</si>
  <si>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</si>
  <si>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</si>
  <si>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Open </t>
    </r>
    <r>
      <rPr>
        <b/>
        <sz val="11"/>
        <color theme="1"/>
        <rFont val="Times New Roman"/>
        <family val="1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</si>
  <si>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</si>
  <si>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</si>
  <si>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</si>
  <si>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number of terminations in 2020? </t>
    </r>
  </si>
  <si>
    <t>________________________________________</t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</si>
  <si>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Calculate the 2021 projected termination knowing that termination rate has grown around the world at an average of 7%</t>
    </r>
  </si>
  <si>
    <r>
      <t xml:space="preserve"> 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termination of 2021 = Terminations of 2020 + (Terminations of 2020*7%)</t>
    </r>
  </si>
  <si>
    <t>_____________________________</t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</si>
  <si>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</si>
  <si>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projected terminations if it is expected to grow by 4.5%?                   </t>
    </r>
  </si>
  <si>
    <t>_______________________________</t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</si>
  <si>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termination for each termination reason (Retirement, Resignation, Layoff),      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</si>
  <si>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Which one is the highest? </t>
    </r>
  </si>
  <si>
    <t>__________ _______________</t>
  </si>
  <si>
    <t xml:space="preserve">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</si>
  <si>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</si>
  <si>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Based on the above description Fill out the </t>
    </r>
    <r>
      <rPr>
        <b/>
        <sz val="11"/>
        <color rgb="FFFF0000"/>
        <rFont val="Times New Roman"/>
        <family val="1"/>
      </rPr>
      <t>termtype_desc column.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</si>
  <si>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terminations were voluntary?</t>
    </r>
  </si>
  <si>
    <t>________</t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</si>
  <si>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</si>
  <si>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</si>
  <si>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</si>
  <si>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</si>
  <si>
    <r>
      <t xml:space="preserve">Fill out the </t>
    </r>
    <r>
      <rPr>
        <b/>
        <sz val="11"/>
        <color rgb="FFFF0000"/>
        <rFont val="Times New Roman"/>
        <family val="1"/>
      </rPr>
      <t>Emp_PrevSTATUS</t>
    </r>
    <r>
      <rPr>
        <sz val="11"/>
        <color rgb="FFFF0000"/>
        <rFont val="Times New Roman"/>
        <family val="1"/>
      </rPr>
      <t xml:space="preserve"> accordingly   </t>
    </r>
  </si>
  <si>
    <t>-END OF CASE STUDY-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</si>
</sst>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rgb="FF4472C4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11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tabSelected="1" topLeftCell="A111" workbookViewId="0">
      <selection activeCell="E52" sqref="E52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6.21875" bestFit="1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bestFit="1" customWidth="1"/>
    <col min="12" max="12" width="16.44140625" bestFit="1" customWidth="1"/>
    <col min="13" max="13" width="14.44140625" bestFit="1" customWidth="1"/>
    <col min="14" max="14" width="15.109375" bestFit="1" customWidth="1"/>
    <col min="15" max="15" width="16.88671875" customWidth="1"/>
    <col min="18" max="18" width="12" bestFit="1" customWidth="1"/>
  </cols>
  <sheetData>
    <row r="1" spans="1:14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 cm="1">
        <f t="array" ref="E2">_xlfn.IFS(D2&lt;=5,"Newcomer",AND(D2&gt;=6,D2&lt;=10),"Proficient",D2&gt;=10,"Expert")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IF(OR(L2="Retirement",L2="Resignation"),"Voluntary","Involuntary")</f>
        <v>Voluntary</v>
      </c>
      <c r="N2" s="4" t="s">
        <v>20</v>
      </c>
    </row>
    <row r="3" spans="1:14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 cm="1">
        <f t="array" ref="E3">_xlfn.IFS(D3&lt;=5,"Newcomer",AND(D3&gt;=6,D3&lt;=10),"Proficient",D3&gt;=10,"Expert")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1">IF(OR(L3="Retirement",L3="Resignation"),"Voluntary","Involuntary")</f>
        <v>Voluntary</v>
      </c>
      <c r="N3" s="4" t="s">
        <v>26</v>
      </c>
    </row>
    <row r="4" spans="1:14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 t="str" cm="1">
        <f t="array" ref="E4">_xlfn.IFS(D4&lt;=5,"Newcomer",AND(D4&gt;=6,D4&lt;=10),"Proficient",D4&gt;=10,"Expert")</f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1"/>
        <v>Voluntary</v>
      </c>
      <c r="N4" s="4" t="s">
        <v>26</v>
      </c>
    </row>
    <row r="5" spans="1:14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 t="str" cm="1">
        <f t="array" ref="E5">_xlfn.IFS(D5&lt;=5,"Newcomer",AND(D5&gt;=6,D5&lt;=10),"Proficient",D5&gt;=10,"Expert")</f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1"/>
        <v>Voluntary</v>
      </c>
      <c r="N5" s="4" t="s">
        <v>20</v>
      </c>
    </row>
    <row r="6" spans="1:14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 t="str" cm="1">
        <f t="array" ref="E6">_xlfn.IFS(D6&lt;=5,"Newcomer",AND(D6&gt;=6,D6&lt;=10),"Proficient",D6&gt;=10,"Expert")</f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1"/>
        <v>Voluntary</v>
      </c>
      <c r="N6" s="4" t="s">
        <v>26</v>
      </c>
    </row>
    <row r="7" spans="1:14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 t="str" cm="1">
        <f t="array" ref="E7">_xlfn.IFS(D7&lt;=5,"Newcomer",AND(D7&gt;=6,D7&lt;=10),"Proficient",D7&gt;=10,"Expert")</f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1"/>
        <v>Voluntary</v>
      </c>
      <c r="N7" s="4" t="s">
        <v>20</v>
      </c>
    </row>
    <row r="8" spans="1:14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 t="str" cm="1">
        <f t="array" ref="E8">_xlfn.IFS(D8&lt;=5,"Newcomer",AND(D8&gt;=6,D8&lt;=10),"Proficient",D8&gt;=10,"Expert")</f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1"/>
        <v>Voluntary</v>
      </c>
      <c r="N8" s="4" t="s">
        <v>20</v>
      </c>
    </row>
    <row r="9" spans="1:14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6" t="str" cm="1">
        <f t="array" ref="E9">_xlfn.IFS(D9&lt;=5,"Newcomer",AND(D9&gt;=6,D9&lt;=10),"Proficient",D9&gt;=10,"Expert")</f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1"/>
        <v>Voluntary</v>
      </c>
      <c r="N9" s="4" t="s">
        <v>26</v>
      </c>
    </row>
    <row r="10" spans="1:14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 cm="1">
        <f t="array" ref="E10">_xlfn.IFS(D10&lt;=5,"Newcomer",AND(D10&gt;=6,D10&lt;=10),"Proficient",D10&gt;=10,"Expert")</f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1"/>
        <v>Voluntary</v>
      </c>
      <c r="N10" s="4" t="s">
        <v>20</v>
      </c>
    </row>
    <row r="11" spans="1:14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 cm="1">
        <f t="array" ref="E11">_xlfn.IFS(D11&lt;=5,"Newcomer",AND(D11&gt;=6,D11&lt;=10),"Proficient",D11&gt;=10,"Expert")</f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1"/>
        <v>Voluntary</v>
      </c>
      <c r="N11" s="4" t="s">
        <v>20</v>
      </c>
    </row>
    <row r="12" spans="1:14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 cm="1">
        <f t="array" ref="E12">_xlfn.IFS(D12&lt;=5,"Newcomer",AND(D12&gt;=6,D12&lt;=10),"Proficient",D12&gt;=10,"Expert")</f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1"/>
        <v>Voluntary</v>
      </c>
      <c r="N12" s="4" t="s">
        <v>26</v>
      </c>
    </row>
    <row r="13" spans="1:14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 cm="1">
        <f t="array" ref="E13">_xlfn.IFS(D13&lt;=5,"Newcomer",AND(D13&gt;=6,D13&lt;=10),"Proficient",D13&gt;=10,"Expert")</f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1"/>
        <v>Voluntary</v>
      </c>
      <c r="N13" s="4" t="s">
        <v>20</v>
      </c>
    </row>
    <row r="14" spans="1:14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 cm="1">
        <f t="array" ref="E14">_xlfn.IFS(D14&lt;=5,"Newcomer",AND(D14&gt;=6,D14&lt;=10),"Proficient",D14&gt;=10,"Expert")</f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1"/>
        <v>Voluntary</v>
      </c>
      <c r="N14" s="4" t="s">
        <v>20</v>
      </c>
    </row>
    <row r="15" spans="1:14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 cm="1">
        <f t="array" ref="E15">_xlfn.IFS(D15&lt;=5,"Newcomer",AND(D15&gt;=6,D15&lt;=10),"Proficient",D15&gt;=10,"Expert")</f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1"/>
        <v>Voluntary</v>
      </c>
      <c r="N15" s="4" t="s">
        <v>26</v>
      </c>
    </row>
    <row r="16" spans="1:14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 cm="1">
        <f t="array" ref="E16">_xlfn.IFS(D16&lt;=5,"Newcomer",AND(D16&gt;=6,D16&lt;=10),"Proficient",D16&gt;=10,"Expert")</f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1"/>
        <v>Voluntary</v>
      </c>
      <c r="N16" s="4" t="s">
        <v>26</v>
      </c>
    </row>
    <row r="17" spans="1:14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 cm="1">
        <f t="array" ref="E17">_xlfn.IFS(D17&lt;=5,"Newcomer",AND(D17&gt;=6,D17&lt;=10),"Proficient",D17&gt;=10,"Expert")</f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1"/>
        <v>Voluntary</v>
      </c>
      <c r="N17" s="4" t="s">
        <v>20</v>
      </c>
    </row>
    <row r="18" spans="1:14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 cm="1">
        <f t="array" ref="E18">_xlfn.IFS(D18&lt;=5,"Newcomer",AND(D18&gt;=6,D18&lt;=10),"Proficient",D18&gt;=10,"Expert")</f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1"/>
        <v>Voluntary</v>
      </c>
      <c r="N18" s="4" t="s">
        <v>26</v>
      </c>
    </row>
    <row r="19" spans="1:14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 cm="1">
        <f t="array" ref="E19">_xlfn.IFS(D19&lt;=5,"Newcomer",AND(D19&gt;=6,D19&lt;=10),"Proficient",D19&gt;=10,"Expert")</f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1"/>
        <v>Voluntary</v>
      </c>
      <c r="N19" s="4" t="s">
        <v>26</v>
      </c>
    </row>
    <row r="20" spans="1:14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 cm="1">
        <f t="array" ref="E20">_xlfn.IFS(D20&lt;=5,"Newcomer",AND(D20&gt;=6,D20&lt;=10),"Proficient",D20&gt;=10,"Expert")</f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1"/>
        <v>Voluntary</v>
      </c>
      <c r="N20" s="4" t="s">
        <v>26</v>
      </c>
    </row>
    <row r="21" spans="1:14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 cm="1">
        <f t="array" ref="E21">_xlfn.IFS(D21&lt;=5,"Newcomer",AND(D21&gt;=6,D21&lt;=10),"Proficient",D21&gt;=10,"Expert")</f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1"/>
        <v>Voluntary</v>
      </c>
      <c r="N21" s="4" t="s">
        <v>20</v>
      </c>
    </row>
    <row r="22" spans="1:14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 cm="1">
        <f t="array" ref="E22">_xlfn.IFS(D22&lt;=5,"Newcomer",AND(D22&gt;=6,D22&lt;=10),"Proficient",D22&gt;=10,"Expert")</f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1"/>
        <v>Voluntary</v>
      </c>
      <c r="N22" s="4" t="s">
        <v>26</v>
      </c>
    </row>
    <row r="23" spans="1:14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 cm="1">
        <f t="array" ref="E23">_xlfn.IFS(D23&lt;=5,"Newcomer",AND(D23&gt;=6,D23&lt;=10),"Proficient",D23&gt;=10,"Expert")</f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1"/>
        <v>Voluntary</v>
      </c>
      <c r="N23" s="4" t="s">
        <v>20</v>
      </c>
    </row>
    <row r="24" spans="1:14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 cm="1">
        <f t="array" ref="E24">_xlfn.IFS(D24&lt;=5,"Newcomer",AND(D24&gt;=6,D24&lt;=10),"Proficient",D24&gt;=10,"Expert")</f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1"/>
        <v>Voluntary</v>
      </c>
      <c r="N24" s="4" t="s">
        <v>20</v>
      </c>
    </row>
    <row r="25" spans="1:14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 cm="1">
        <f t="array" ref="E25">_xlfn.IFS(D25&lt;=5,"Newcomer",AND(D25&gt;=6,D25&lt;=10),"Proficient",D25&gt;=10,"Expert")</f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1"/>
        <v>Voluntary</v>
      </c>
      <c r="N25" s="4" t="s">
        <v>20</v>
      </c>
    </row>
    <row r="26" spans="1:14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 cm="1">
        <f t="array" ref="E26">_xlfn.IFS(D26&lt;=5,"Newcomer",AND(D26&gt;=6,D26&lt;=10),"Proficient",D26&gt;=10,"Expert")</f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1"/>
        <v>Voluntary</v>
      </c>
      <c r="N26" s="4" t="s">
        <v>26</v>
      </c>
    </row>
    <row r="27" spans="1:14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 cm="1">
        <f t="array" ref="E27">_xlfn.IFS(D27&lt;=5,"Newcomer",AND(D27&gt;=6,D27&lt;=10),"Proficient",D27&gt;=10,"Expert")</f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1"/>
        <v>Voluntary</v>
      </c>
      <c r="N27" s="4" t="s">
        <v>20</v>
      </c>
    </row>
    <row r="28" spans="1:14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 cm="1">
        <f t="array" ref="E28">_xlfn.IFS(D28&lt;=5,"Newcomer",AND(D28&gt;=6,D28&lt;=10),"Proficient",D28&gt;=10,"Expert")</f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1"/>
        <v>Voluntary</v>
      </c>
      <c r="N28" s="4" t="s">
        <v>26</v>
      </c>
    </row>
    <row r="29" spans="1:14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 cm="1">
        <f t="array" ref="E29">_xlfn.IFS(D29&lt;=5,"Newcomer",AND(D29&gt;=6,D29&lt;=10),"Proficient",D29&gt;=10,"Expert")</f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1"/>
        <v>Voluntary</v>
      </c>
      <c r="N29" s="4" t="s">
        <v>20</v>
      </c>
    </row>
    <row r="30" spans="1:14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 cm="1">
        <f t="array" ref="E30">_xlfn.IFS(D30&lt;=5,"Newcomer",AND(D30&gt;=6,D30&lt;=10),"Proficient",D30&gt;=10,"Expert")</f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1"/>
        <v>Voluntary</v>
      </c>
      <c r="N30" s="4" t="s">
        <v>20</v>
      </c>
    </row>
    <row r="31" spans="1:14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 cm="1">
        <f t="array" ref="E31">_xlfn.IFS(D31&lt;=5,"Newcomer",AND(D31&gt;=6,D31&lt;=10),"Proficient",D31&gt;=10,"Expert")</f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1"/>
        <v>Voluntary</v>
      </c>
      <c r="N31" s="4" t="s">
        <v>20</v>
      </c>
    </row>
    <row r="32" spans="1:14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 cm="1">
        <f t="array" ref="E32">_xlfn.IFS(D32&lt;=5,"Newcomer",AND(D32&gt;=6,D32&lt;=10),"Proficient",D32&gt;=10,"Expert")</f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1"/>
        <v>Voluntary</v>
      </c>
      <c r="N32" s="4" t="s">
        <v>26</v>
      </c>
    </row>
    <row r="33" spans="1:14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 cm="1">
        <f t="array" ref="E33">_xlfn.IFS(D33&lt;=5,"Newcomer",AND(D33&gt;=6,D33&lt;=10),"Proficient",D33&gt;=10,"Expert")</f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1"/>
        <v>Voluntary</v>
      </c>
      <c r="N33" s="4" t="s">
        <v>20</v>
      </c>
    </row>
    <row r="34" spans="1:14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 cm="1">
        <f t="array" ref="E34">_xlfn.IFS(D34&lt;=5,"Newcomer",AND(D34&gt;=6,D34&lt;=10),"Proficient",D34&gt;=10,"Expert")</f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1"/>
        <v>Voluntary</v>
      </c>
      <c r="N34" s="4" t="s">
        <v>26</v>
      </c>
    </row>
    <row r="35" spans="1:14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 cm="1">
        <f t="array" ref="E35">_xlfn.IFS(D35&lt;=5,"Newcomer",AND(D35&gt;=6,D35&lt;=10),"Proficient",D35&gt;=10,"Expert")</f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1"/>
        <v>Voluntary</v>
      </c>
      <c r="N35" s="4" t="s">
        <v>26</v>
      </c>
    </row>
    <row r="36" spans="1:14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 cm="1">
        <f t="array" ref="E36">_xlfn.IFS(D36&lt;=5,"Newcomer",AND(D36&gt;=6,D36&lt;=10),"Proficient",D36&gt;=10,"Expert")</f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1"/>
        <v>Voluntary</v>
      </c>
      <c r="N36" s="4" t="s">
        <v>26</v>
      </c>
    </row>
    <row r="37" spans="1:14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 cm="1">
        <f t="array" ref="E37">_xlfn.IFS(D37&lt;=5,"Newcomer",AND(D37&gt;=6,D37&lt;=10),"Proficient",D37&gt;=10,"Expert")</f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1"/>
        <v>Voluntary</v>
      </c>
      <c r="N37" s="4" t="s">
        <v>20</v>
      </c>
    </row>
    <row r="38" spans="1:14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 cm="1">
        <f t="array" ref="E38">_xlfn.IFS(D38&lt;=5,"Newcomer",AND(D38&gt;=6,D38&lt;=10),"Proficient",D38&gt;=10,"Expert")</f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1"/>
        <v>Voluntary</v>
      </c>
      <c r="N38" s="4" t="s">
        <v>26</v>
      </c>
    </row>
    <row r="39" spans="1:14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 cm="1">
        <f t="array" ref="E39">_xlfn.IFS(D39&lt;=5,"Newcomer",AND(D39&gt;=6,D39&lt;=10),"Proficient",D39&gt;=10,"Expert")</f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1"/>
        <v>Voluntary</v>
      </c>
      <c r="N39" s="4" t="s">
        <v>20</v>
      </c>
    </row>
    <row r="40" spans="1:14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 cm="1">
        <f t="array" ref="E40">_xlfn.IFS(D40&lt;=5,"Newcomer",AND(D40&gt;=6,D40&lt;=10),"Proficient",D40&gt;=10,"Expert")</f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1"/>
        <v>Voluntary</v>
      </c>
      <c r="N40" s="4" t="s">
        <v>26</v>
      </c>
    </row>
    <row r="41" spans="1:14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 cm="1">
        <f t="array" ref="E41">_xlfn.IFS(D41&lt;=5,"Newcomer",AND(D41&gt;=6,D41&lt;=10),"Proficient",D41&gt;=10,"Expert")</f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1"/>
        <v>Voluntary</v>
      </c>
      <c r="N41" s="4" t="s">
        <v>20</v>
      </c>
    </row>
    <row r="42" spans="1:14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 cm="1">
        <f t="array" ref="E42">_xlfn.IFS(D42&lt;=5,"Newcomer",AND(D42&gt;=6,D42&lt;=10),"Proficient",D42&gt;=10,"Expert")</f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1"/>
        <v>Voluntary</v>
      </c>
      <c r="N42" s="4" t="s">
        <v>26</v>
      </c>
    </row>
    <row r="43" spans="1:14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 cm="1">
        <f t="array" ref="E43">_xlfn.IFS(D43&lt;=5,"Newcomer",AND(D43&gt;=6,D43&lt;=10),"Proficient",D43&gt;=10,"Expert")</f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1"/>
        <v>Voluntary</v>
      </c>
      <c r="N43" s="4" t="s">
        <v>26</v>
      </c>
    </row>
    <row r="44" spans="1:14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 cm="1">
        <f t="array" ref="E44">_xlfn.IFS(D44&lt;=5,"Newcomer",AND(D44&gt;=6,D44&lt;=10),"Proficient",D44&gt;=10,"Expert")</f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1"/>
        <v>Voluntary</v>
      </c>
      <c r="N44" s="4" t="s">
        <v>26</v>
      </c>
    </row>
    <row r="45" spans="1:14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 cm="1">
        <f t="array" ref="E45">_xlfn.IFS(D45&lt;=5,"Newcomer",AND(D45&gt;=6,D45&lt;=10),"Proficient",D45&gt;=10,"Expert")</f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1"/>
        <v>Voluntary</v>
      </c>
      <c r="N45" s="4" t="s">
        <v>20</v>
      </c>
    </row>
    <row r="46" spans="1:14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 cm="1">
        <f t="array" ref="E46">_xlfn.IFS(D46&lt;=5,"Newcomer",AND(D46&gt;=6,D46&lt;=10),"Proficient",D46&gt;=10,"Expert")</f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1"/>
        <v>Voluntary</v>
      </c>
      <c r="N46" s="4" t="s">
        <v>26</v>
      </c>
    </row>
    <row r="47" spans="1:14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 cm="1">
        <f t="array" ref="E47">_xlfn.IFS(D47&lt;=5,"Newcomer",AND(D47&gt;=6,D47&lt;=10),"Proficient",D47&gt;=10,"Expert")</f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1"/>
        <v>Voluntary</v>
      </c>
      <c r="N47" s="4" t="s">
        <v>20</v>
      </c>
    </row>
    <row r="48" spans="1:14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 cm="1">
        <f t="array" ref="E48">_xlfn.IFS(D48&lt;=5,"Newcomer",AND(D48&gt;=6,D48&lt;=10),"Proficient",D48&gt;=10,"Expert")</f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1"/>
        <v>Voluntary</v>
      </c>
      <c r="N48" s="4" t="s">
        <v>26</v>
      </c>
    </row>
    <row r="49" spans="1:14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 cm="1">
        <f t="array" ref="E49">_xlfn.IFS(D49&lt;=5,"Newcomer",AND(D49&gt;=6,D49&lt;=10),"Proficient",D49&gt;=10,"Expert")</f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1"/>
        <v>Voluntary</v>
      </c>
      <c r="N49" s="4" t="s">
        <v>20</v>
      </c>
    </row>
    <row r="50" spans="1:14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 cm="1">
        <f t="array" ref="E50">_xlfn.IFS(D50&lt;=5,"Newcomer",AND(D50&gt;=6,D50&lt;=10),"Proficient",D50&gt;=10,"Expert")</f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1"/>
        <v>Voluntary</v>
      </c>
      <c r="N50" s="4" t="s">
        <v>20</v>
      </c>
    </row>
    <row r="51" spans="1:14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 cm="1">
        <f t="array" ref="E51">_xlfn.IFS(D51&lt;=5,"Newcomer",AND(D51&gt;=6,D51&lt;=10),"Proficient",D51&gt;=10,"Expert")</f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1"/>
        <v>Voluntary</v>
      </c>
      <c r="N51" s="4" t="s">
        <v>20</v>
      </c>
    </row>
    <row r="52" spans="1:14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 cm="1">
        <f t="array" ref="E52">_xlfn.IFS(D52&lt;=5,"Newcomer",AND(D52&gt;=6,D52&lt;=10),"Proficient",D52&gt;=10,"Expert")</f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1"/>
        <v>Voluntary</v>
      </c>
      <c r="N52" s="4" t="s">
        <v>26</v>
      </c>
    </row>
    <row r="53" spans="1:14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 cm="1">
        <f t="array" ref="E53">_xlfn.IFS(D53&lt;=5,"Newcomer",AND(D53&gt;=6,D53&lt;=10),"Proficient",D53&gt;=10,"Expert")</f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1"/>
        <v>Voluntary</v>
      </c>
      <c r="N53" s="4" t="s">
        <v>20</v>
      </c>
    </row>
    <row r="54" spans="1:14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 cm="1">
        <f t="array" ref="E54">_xlfn.IFS(D54&lt;=5,"Newcomer",AND(D54&gt;=6,D54&lt;=10),"Proficient",D54&gt;=10,"Expert")</f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1"/>
        <v>Voluntary</v>
      </c>
      <c r="N54" s="4" t="s">
        <v>26</v>
      </c>
    </row>
    <row r="55" spans="1:14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 cm="1">
        <f t="array" ref="E55">_xlfn.IFS(D55&lt;=5,"Newcomer",AND(D55&gt;=6,D55&lt;=10),"Proficient",D55&gt;=10,"Expert")</f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1"/>
        <v>Voluntary</v>
      </c>
      <c r="N55" s="4" t="s">
        <v>20</v>
      </c>
    </row>
    <row r="56" spans="1:14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 cm="1">
        <f t="array" ref="E56">_xlfn.IFS(D56&lt;=5,"Newcomer",AND(D56&gt;=6,D56&lt;=10),"Proficient",D56&gt;=10,"Expert")</f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1"/>
        <v>Voluntary</v>
      </c>
      <c r="N56" s="4" t="s">
        <v>20</v>
      </c>
    </row>
    <row r="57" spans="1:14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 cm="1">
        <f t="array" ref="E57">_xlfn.IFS(D57&lt;=5,"Newcomer",AND(D57&gt;=6,D57&lt;=10),"Proficient",D57&gt;=10,"Expert")</f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1"/>
        <v>Voluntary</v>
      </c>
      <c r="N57" s="4" t="s">
        <v>20</v>
      </c>
    </row>
    <row r="58" spans="1:14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 cm="1">
        <f t="array" ref="E58">_xlfn.IFS(D58&lt;=5,"Newcomer",AND(D58&gt;=6,D58&lt;=10),"Proficient",D58&gt;=10,"Expert")</f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1"/>
        <v>Voluntary</v>
      </c>
      <c r="N58" s="4" t="s">
        <v>26</v>
      </c>
    </row>
    <row r="59" spans="1:14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 cm="1">
        <f t="array" ref="E59">_xlfn.IFS(D59&lt;=5,"Newcomer",AND(D59&gt;=6,D59&lt;=10),"Proficient",D59&gt;=10,"Expert")</f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1"/>
        <v>Voluntary</v>
      </c>
      <c r="N59" s="4" t="s">
        <v>26</v>
      </c>
    </row>
    <row r="60" spans="1:14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 cm="1">
        <f t="array" ref="E60">_xlfn.IFS(D60&lt;=5,"Newcomer",AND(D60&gt;=6,D60&lt;=10),"Proficient",D60&gt;=10,"Expert")</f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1"/>
        <v>Voluntary</v>
      </c>
      <c r="N60" s="4" t="s">
        <v>26</v>
      </c>
    </row>
    <row r="61" spans="1:14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 cm="1">
        <f t="array" ref="E61">_xlfn.IFS(D61&lt;=5,"Newcomer",AND(D61&gt;=6,D61&lt;=10),"Proficient",D61&gt;=10,"Expert")</f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1"/>
        <v>Voluntary</v>
      </c>
      <c r="N61" s="4" t="s">
        <v>26</v>
      </c>
    </row>
    <row r="62" spans="1:14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 cm="1">
        <f t="array" ref="E62">_xlfn.IFS(D62&lt;=5,"Newcomer",AND(D62&gt;=6,D62&lt;=10),"Proficient",D62&gt;=10,"Expert")</f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1"/>
        <v>Voluntary</v>
      </c>
      <c r="N62" s="4" t="s">
        <v>26</v>
      </c>
    </row>
    <row r="63" spans="1:14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 cm="1">
        <f t="array" ref="E63">_xlfn.IFS(D63&lt;=5,"Newcomer",AND(D63&gt;=6,D63&lt;=10),"Proficient",D63&gt;=10,"Expert")</f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1"/>
        <v>Voluntary</v>
      </c>
      <c r="N63" s="4" t="s">
        <v>26</v>
      </c>
    </row>
    <row r="64" spans="1:14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 cm="1">
        <f t="array" ref="E64">_xlfn.IFS(D64&lt;=5,"Newcomer",AND(D64&gt;=6,D64&lt;=10),"Proficient",D64&gt;=10,"Expert")</f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1"/>
        <v>Voluntary</v>
      </c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 cm="1">
        <f t="array" ref="E65">_xlfn.IFS(D65&lt;=5,"Newcomer",AND(D65&gt;=6,D65&lt;=10),"Proficient",D65&gt;=10,"Expert")</f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1"/>
        <v>Voluntary</v>
      </c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 cm="1">
        <f t="array" ref="E66">_xlfn.IFS(D66&lt;=5,"Newcomer",AND(D66&gt;=6,D66&lt;=10),"Proficient",D66&gt;=10,"Expert")</f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1"/>
        <v>Voluntary</v>
      </c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2">YEAR(C67)-YEAR(B67)</f>
        <v>11</v>
      </c>
      <c r="E67" s="6" t="str" cm="1">
        <f t="array" ref="E67">_xlfn.IFS(D67&lt;=5,"Newcomer",AND(D67&gt;=6,D67&lt;=10),"Proficient",D67&gt;=10,"Expert")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ref="M67:M130" si="3">IF(OR(L67="Retirement",L67="Resignation"),"Voluntary","Involuntary")</f>
        <v>Voluntary</v>
      </c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2"/>
        <v>22</v>
      </c>
      <c r="E68" s="6" t="str" cm="1">
        <f t="array" ref="E68">_xlfn.IFS(D68&lt;=5,"Newcomer",AND(D68&gt;=6,D68&lt;=10),"Proficient",D68&gt;=10,"Expert")</f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3"/>
        <v>Voluntary</v>
      </c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2"/>
        <v>20</v>
      </c>
      <c r="E69" s="6" t="str" cm="1">
        <f t="array" ref="E69">_xlfn.IFS(D69&lt;=5,"Newcomer",AND(D69&gt;=6,D69&lt;=10),"Proficient",D69&gt;=10,"Expert")</f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3"/>
        <v>Voluntary</v>
      </c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2"/>
        <v>19</v>
      </c>
      <c r="E70" s="6" t="str" cm="1">
        <f t="array" ref="E70">_xlfn.IFS(D70&lt;=5,"Newcomer",AND(D70&gt;=6,D70&lt;=10),"Proficient",D70&gt;=10,"Expert")</f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3"/>
        <v>Voluntary</v>
      </c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2"/>
        <v>11</v>
      </c>
      <c r="E71" s="6" t="str" cm="1">
        <f t="array" ref="E71">_xlfn.IFS(D71&lt;=5,"Newcomer",AND(D71&gt;=6,D71&lt;=10),"Proficient",D71&gt;=10,"Expert")</f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3"/>
        <v>Voluntary</v>
      </c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2"/>
        <v>25</v>
      </c>
      <c r="E72" s="6" t="str" cm="1">
        <f t="array" ref="E72">_xlfn.IFS(D72&lt;=5,"Newcomer",AND(D72&gt;=6,D72&lt;=10),"Proficient",D72&gt;=10,"Expert")</f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3"/>
        <v>Voluntary</v>
      </c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2"/>
        <v>5</v>
      </c>
      <c r="E73" s="6" t="str" cm="1">
        <f t="array" ref="E73">_xlfn.IFS(D73&lt;=5,"Newcomer",AND(D73&gt;=6,D73&lt;=10),"Proficient",D73&gt;=10,"Expert")</f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3"/>
        <v>Voluntary</v>
      </c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2"/>
        <v>29</v>
      </c>
      <c r="E74" s="6" t="str" cm="1">
        <f t="array" ref="E74">_xlfn.IFS(D74&lt;=5,"Newcomer",AND(D74&gt;=6,D74&lt;=10),"Proficient",D74&gt;=10,"Expert")</f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3"/>
        <v>Voluntary</v>
      </c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2"/>
        <v>28</v>
      </c>
      <c r="E75" s="6" t="str" cm="1">
        <f t="array" ref="E75">_xlfn.IFS(D75&lt;=5,"Newcomer",AND(D75&gt;=6,D75&lt;=10),"Proficient",D75&gt;=10,"Expert")</f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3"/>
        <v>Voluntary</v>
      </c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2"/>
        <v>15</v>
      </c>
      <c r="E76" s="6" t="str" cm="1">
        <f t="array" ref="E76">_xlfn.IFS(D76&lt;=5,"Newcomer",AND(D76&gt;=6,D76&lt;=10),"Proficient",D76&gt;=10,"Expert")</f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3"/>
        <v>Voluntary</v>
      </c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2"/>
        <v>21</v>
      </c>
      <c r="E77" s="6" t="str" cm="1">
        <f t="array" ref="E77">_xlfn.IFS(D77&lt;=5,"Newcomer",AND(D77&gt;=6,D77&lt;=10),"Proficient",D77&gt;=10,"Expert")</f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3"/>
        <v>Voluntary</v>
      </c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2"/>
        <v>14</v>
      </c>
      <c r="E78" s="6" t="str" cm="1">
        <f t="array" ref="E78">_xlfn.IFS(D78&lt;=5,"Newcomer",AND(D78&gt;=6,D78&lt;=10),"Proficient",D78&gt;=10,"Expert")</f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3"/>
        <v>Voluntary</v>
      </c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2"/>
        <v>17</v>
      </c>
      <c r="E79" s="6" t="str" cm="1">
        <f t="array" ref="E79">_xlfn.IFS(D79&lt;=5,"Newcomer",AND(D79&gt;=6,D79&lt;=10),"Proficient",D79&gt;=10,"Expert")</f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3"/>
        <v>Voluntary</v>
      </c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2"/>
        <v>15</v>
      </c>
      <c r="E80" s="6" t="str" cm="1">
        <f t="array" ref="E80">_xlfn.IFS(D80&lt;=5,"Newcomer",AND(D80&gt;=6,D80&lt;=10),"Proficient",D80&gt;=10,"Expert")</f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3"/>
        <v>Voluntary</v>
      </c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2"/>
        <v>22</v>
      </c>
      <c r="E81" s="6" t="str" cm="1">
        <f t="array" ref="E81">_xlfn.IFS(D81&lt;=5,"Newcomer",AND(D81&gt;=6,D81&lt;=10),"Proficient",D81&gt;=10,"Expert")</f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3"/>
        <v>Voluntary</v>
      </c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2"/>
        <v>12</v>
      </c>
      <c r="E82" s="6" t="str" cm="1">
        <f t="array" ref="E82">_xlfn.IFS(D82&lt;=5,"Newcomer",AND(D82&gt;=6,D82&lt;=10),"Proficient",D82&gt;=10,"Expert")</f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3"/>
        <v>Voluntary</v>
      </c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2"/>
        <v>10</v>
      </c>
      <c r="E83" s="6" t="str" cm="1">
        <f t="array" ref="E83">_xlfn.IFS(D83&lt;=5,"Newcomer",AND(D83&gt;=6,D83&lt;=10),"Proficient",D83&gt;=10,"Expert")</f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3"/>
        <v>Voluntary</v>
      </c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2"/>
        <v>20</v>
      </c>
      <c r="E84" s="6" t="str" cm="1">
        <f t="array" ref="E84">_xlfn.IFS(D84&lt;=5,"Newcomer",AND(D84&gt;=6,D84&lt;=10),"Proficient",D84&gt;=10,"Expert")</f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3"/>
        <v>Voluntary</v>
      </c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2"/>
        <v>16</v>
      </c>
      <c r="E85" s="6" t="str" cm="1">
        <f t="array" ref="E85">_xlfn.IFS(D85&lt;=5,"Newcomer",AND(D85&gt;=6,D85&lt;=10),"Proficient",D85&gt;=10,"Expert")</f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3"/>
        <v>Voluntary</v>
      </c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2"/>
        <v>20</v>
      </c>
      <c r="E86" s="6" t="str" cm="1">
        <f t="array" ref="E86">_xlfn.IFS(D86&lt;=5,"Newcomer",AND(D86&gt;=6,D86&lt;=10),"Proficient",D86&gt;=10,"Expert")</f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3"/>
        <v>Voluntary</v>
      </c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2"/>
        <v>14</v>
      </c>
      <c r="E87" s="6" t="str" cm="1">
        <f t="array" ref="E87">_xlfn.IFS(D87&lt;=5,"Newcomer",AND(D87&gt;=6,D87&lt;=10),"Proficient",D87&gt;=10,"Expert")</f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3"/>
        <v>Voluntary</v>
      </c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2"/>
        <v>30</v>
      </c>
      <c r="E88" s="6" t="str" cm="1">
        <f t="array" ref="E88">_xlfn.IFS(D88&lt;=5,"Newcomer",AND(D88&gt;=6,D88&lt;=10),"Proficient",D88&gt;=10,"Expert")</f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3"/>
        <v>Voluntary</v>
      </c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2"/>
        <v>11</v>
      </c>
      <c r="E89" s="6" t="str" cm="1">
        <f t="array" ref="E89">_xlfn.IFS(D89&lt;=5,"Newcomer",AND(D89&gt;=6,D89&lt;=10),"Proficient",D89&gt;=10,"Expert")</f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3"/>
        <v>Voluntary</v>
      </c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2"/>
        <v>27</v>
      </c>
      <c r="E90" s="6" t="str" cm="1">
        <f t="array" ref="E90">_xlfn.IFS(D90&lt;=5,"Newcomer",AND(D90&gt;=6,D90&lt;=10),"Proficient",D90&gt;=10,"Expert")</f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3"/>
        <v>Voluntary</v>
      </c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2"/>
        <v>28</v>
      </c>
      <c r="E91" s="6" t="str" cm="1">
        <f t="array" ref="E91">_xlfn.IFS(D91&lt;=5,"Newcomer",AND(D91&gt;=6,D91&lt;=10),"Proficient",D91&gt;=10,"Expert")</f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3"/>
        <v>Voluntary</v>
      </c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2"/>
        <v>22</v>
      </c>
      <c r="E92" s="6" t="str" cm="1">
        <f t="array" ref="E92">_xlfn.IFS(D92&lt;=5,"Newcomer",AND(D92&gt;=6,D92&lt;=10),"Proficient",D92&gt;=10,"Expert")</f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3"/>
        <v>Voluntary</v>
      </c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2"/>
        <v>21</v>
      </c>
      <c r="E93" s="6" t="str" cm="1">
        <f t="array" ref="E93">_xlfn.IFS(D93&lt;=5,"Newcomer",AND(D93&gt;=6,D93&lt;=10),"Proficient",D93&gt;=10,"Expert")</f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3"/>
        <v>Voluntary</v>
      </c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2"/>
        <v>30</v>
      </c>
      <c r="E94" s="6" t="str" cm="1">
        <f t="array" ref="E94">_xlfn.IFS(D94&lt;=5,"Newcomer",AND(D94&gt;=6,D94&lt;=10),"Proficient",D94&gt;=10,"Expert")</f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3"/>
        <v>Voluntary</v>
      </c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2"/>
        <v>9</v>
      </c>
      <c r="E95" s="6" t="str" cm="1">
        <f t="array" ref="E95">_xlfn.IFS(D95&lt;=5,"Newcomer",AND(D95&gt;=6,D95&lt;=10),"Proficient",D95&gt;=10,"Expert")</f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3"/>
        <v>Voluntary</v>
      </c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2"/>
        <v>10</v>
      </c>
      <c r="E96" s="6" t="str" cm="1">
        <f t="array" ref="E96">_xlfn.IFS(D96&lt;=5,"Newcomer",AND(D96&gt;=6,D96&lt;=10),"Proficient",D96&gt;=10,"Expert")</f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3"/>
        <v>Voluntary</v>
      </c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2"/>
        <v>7</v>
      </c>
      <c r="E97" s="6" t="str" cm="1">
        <f t="array" ref="E97">_xlfn.IFS(D97&lt;=5,"Newcomer",AND(D97&gt;=6,D97&lt;=10),"Proficient",D97&gt;=10,"Expert")</f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3"/>
        <v>Voluntary</v>
      </c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2"/>
        <v>22</v>
      </c>
      <c r="E98" s="6" t="str" cm="1">
        <f t="array" ref="E98">_xlfn.IFS(D98&lt;=5,"Newcomer",AND(D98&gt;=6,D98&lt;=10),"Proficient",D98&gt;=10,"Expert")</f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3"/>
        <v>Voluntary</v>
      </c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2"/>
        <v>16</v>
      </c>
      <c r="E99" s="6" t="str" cm="1">
        <f t="array" ref="E99">_xlfn.IFS(D99&lt;=5,"Newcomer",AND(D99&gt;=6,D99&lt;=10),"Proficient",D99&gt;=10,"Expert")</f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3"/>
        <v>Voluntary</v>
      </c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2"/>
        <v>16</v>
      </c>
      <c r="E100" s="6" t="str" cm="1">
        <f t="array" ref="E100">_xlfn.IFS(D100&lt;=5,"Newcomer",AND(D100&gt;=6,D100&lt;=10),"Proficient",D100&gt;=10,"Expert")</f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3"/>
        <v>Voluntary</v>
      </c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2"/>
        <v>21</v>
      </c>
      <c r="E101" s="6" t="str" cm="1">
        <f t="array" ref="E101">_xlfn.IFS(D101&lt;=5,"Newcomer",AND(D101&gt;=6,D101&lt;=10),"Proficient",D101&gt;=10,"Expert")</f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3"/>
        <v>Voluntary</v>
      </c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2"/>
        <v>12</v>
      </c>
      <c r="E102" s="6" t="str" cm="1">
        <f t="array" ref="E102">_xlfn.IFS(D102&lt;=5,"Newcomer",AND(D102&gt;=6,D102&lt;=10),"Proficient",D102&gt;=10,"Expert")</f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3"/>
        <v>Voluntary</v>
      </c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2"/>
        <v>29</v>
      </c>
      <c r="E103" s="6" t="str" cm="1">
        <f t="array" ref="E103">_xlfn.IFS(D103&lt;=5,"Newcomer",AND(D103&gt;=6,D103&lt;=10),"Proficient",D103&gt;=10,"Expert")</f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3"/>
        <v>Voluntary</v>
      </c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2"/>
        <v>21</v>
      </c>
      <c r="E104" s="6" t="str" cm="1">
        <f t="array" ref="E104">_xlfn.IFS(D104&lt;=5,"Newcomer",AND(D104&gt;=6,D104&lt;=10),"Proficient",D104&gt;=10,"Expert")</f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3"/>
        <v>Voluntary</v>
      </c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2"/>
        <v>20</v>
      </c>
      <c r="E105" s="6" t="str" cm="1">
        <f t="array" ref="E105">_xlfn.IFS(D105&lt;=5,"Newcomer",AND(D105&gt;=6,D105&lt;=10),"Proficient",D105&gt;=10,"Expert")</f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3"/>
        <v>Voluntary</v>
      </c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2"/>
        <v>28</v>
      </c>
      <c r="E106" s="6" t="str" cm="1">
        <f t="array" ref="E106">_xlfn.IFS(D106&lt;=5,"Newcomer",AND(D106&gt;=6,D106&lt;=10),"Proficient",D106&gt;=10,"Expert")</f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3"/>
        <v>Voluntary</v>
      </c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2"/>
        <v>12</v>
      </c>
      <c r="E107" s="6" t="str" cm="1">
        <f t="array" ref="E107">_xlfn.IFS(D107&lt;=5,"Newcomer",AND(D107&gt;=6,D107&lt;=10),"Proficient",D107&gt;=10,"Expert")</f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3"/>
        <v>Voluntary</v>
      </c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2"/>
        <v>14</v>
      </c>
      <c r="E108" s="6" t="str" cm="1">
        <f t="array" ref="E108">_xlfn.IFS(D108&lt;=5,"Newcomer",AND(D108&gt;=6,D108&lt;=10),"Proficient",D108&gt;=10,"Expert")</f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3"/>
        <v>Voluntary</v>
      </c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2"/>
        <v>12</v>
      </c>
      <c r="E109" s="6" t="str" cm="1">
        <f t="array" ref="E109">_xlfn.IFS(D109&lt;=5,"Newcomer",AND(D109&gt;=6,D109&lt;=10),"Proficient",D109&gt;=10,"Expert")</f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3"/>
        <v>Voluntary</v>
      </c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2"/>
        <v>22</v>
      </c>
      <c r="E110" s="6" t="str" cm="1">
        <f t="array" ref="E110">_xlfn.IFS(D110&lt;=5,"Newcomer",AND(D110&gt;=6,D110&lt;=10),"Proficient",D110&gt;=10,"Expert")</f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3"/>
        <v>Voluntary</v>
      </c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2"/>
        <v>19</v>
      </c>
      <c r="E111" s="6" t="str" cm="1">
        <f t="array" ref="E111">_xlfn.IFS(D111&lt;=5,"Newcomer",AND(D111&gt;=6,D111&lt;=10),"Proficient",D111&gt;=10,"Expert")</f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3"/>
        <v>Voluntary</v>
      </c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2"/>
        <v>25</v>
      </c>
      <c r="E112" s="6" t="str" cm="1">
        <f t="array" ref="E112">_xlfn.IFS(D112&lt;=5,"Newcomer",AND(D112&gt;=6,D112&lt;=10),"Proficient",D112&gt;=10,"Expert")</f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3"/>
        <v>Voluntary</v>
      </c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2"/>
        <v>16</v>
      </c>
      <c r="E113" s="6" t="str" cm="1">
        <f t="array" ref="E113">_xlfn.IFS(D113&lt;=5,"Newcomer",AND(D113&gt;=6,D113&lt;=10),"Proficient",D113&gt;=10,"Expert")</f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3"/>
        <v>Voluntary</v>
      </c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2"/>
        <v>23</v>
      </c>
      <c r="E114" s="6" t="str" cm="1">
        <f t="array" ref="E114">_xlfn.IFS(D114&lt;=5,"Newcomer",AND(D114&gt;=6,D114&lt;=10),"Proficient",D114&gt;=10,"Expert")</f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3"/>
        <v>Voluntary</v>
      </c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2"/>
        <v>24</v>
      </c>
      <c r="E115" s="6" t="str" cm="1">
        <f t="array" ref="E115">_xlfn.IFS(D115&lt;=5,"Newcomer",AND(D115&gt;=6,D115&lt;=10),"Proficient",D115&gt;=10,"Expert")</f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3"/>
        <v>Voluntary</v>
      </c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2"/>
        <v>13</v>
      </c>
      <c r="E116" s="6" t="str" cm="1">
        <f t="array" ref="E116">_xlfn.IFS(D116&lt;=5,"Newcomer",AND(D116&gt;=6,D116&lt;=10),"Proficient",D116&gt;=10,"Expert")</f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3"/>
        <v>Voluntary</v>
      </c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2"/>
        <v>10</v>
      </c>
      <c r="E117" s="6" t="str" cm="1">
        <f t="array" ref="E117">_xlfn.IFS(D117&lt;=5,"Newcomer",AND(D117&gt;=6,D117&lt;=10),"Proficient",D117&gt;=10,"Expert")</f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3"/>
        <v>Voluntary</v>
      </c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2"/>
        <v>14</v>
      </c>
      <c r="E118" s="6" t="str" cm="1">
        <f t="array" ref="E118">_xlfn.IFS(D118&lt;=5,"Newcomer",AND(D118&gt;=6,D118&lt;=10),"Proficient",D118&gt;=10,"Expert")</f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3"/>
        <v>Voluntary</v>
      </c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2"/>
        <v>22</v>
      </c>
      <c r="E119" s="6" t="str" cm="1">
        <f t="array" ref="E119">_xlfn.IFS(D119&lt;=5,"Newcomer",AND(D119&gt;=6,D119&lt;=10),"Proficient",D119&gt;=10,"Expert")</f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3"/>
        <v>Voluntary</v>
      </c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2"/>
        <v>26</v>
      </c>
      <c r="E120" s="6" t="str" cm="1">
        <f t="array" ref="E120">_xlfn.IFS(D120&lt;=5,"Newcomer",AND(D120&gt;=6,D120&lt;=10),"Proficient",D120&gt;=10,"Expert")</f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3"/>
        <v>Voluntary</v>
      </c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2"/>
        <v>21</v>
      </c>
      <c r="E121" s="6" t="str" cm="1">
        <f t="array" ref="E121">_xlfn.IFS(D121&lt;=5,"Newcomer",AND(D121&gt;=6,D121&lt;=10),"Proficient",D121&gt;=10,"Expert")</f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3"/>
        <v>Voluntary</v>
      </c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2"/>
        <v>12</v>
      </c>
      <c r="E122" s="6" t="str" cm="1">
        <f t="array" ref="E122">_xlfn.IFS(D122&lt;=5,"Newcomer",AND(D122&gt;=6,D122&lt;=10),"Proficient",D122&gt;=10,"Expert")</f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3"/>
        <v>Voluntary</v>
      </c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2"/>
        <v>30</v>
      </c>
      <c r="E123" s="6" t="str" cm="1">
        <f t="array" ref="E123">_xlfn.IFS(D123&lt;=5,"Newcomer",AND(D123&gt;=6,D123&lt;=10),"Proficient",D123&gt;=10,"Expert")</f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3"/>
        <v>Voluntary</v>
      </c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2"/>
        <v>18</v>
      </c>
      <c r="E124" s="6" t="str" cm="1">
        <f t="array" ref="E124">_xlfn.IFS(D124&lt;=5,"Newcomer",AND(D124&gt;=6,D124&lt;=10),"Proficient",D124&gt;=10,"Expert")</f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3"/>
        <v>Voluntary</v>
      </c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2"/>
        <v>22</v>
      </c>
      <c r="E125" s="6" t="str" cm="1">
        <f t="array" ref="E125">_xlfn.IFS(D125&lt;=5,"Newcomer",AND(D125&gt;=6,D125&lt;=10),"Proficient",D125&gt;=10,"Expert")</f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3"/>
        <v>Voluntary</v>
      </c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2"/>
        <v>29</v>
      </c>
      <c r="E126" s="6" t="str" cm="1">
        <f t="array" ref="E126">_xlfn.IFS(D126&lt;=5,"Newcomer",AND(D126&gt;=6,D126&lt;=10),"Proficient",D126&gt;=10,"Expert")</f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3"/>
        <v>Voluntary</v>
      </c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2"/>
        <v>26</v>
      </c>
      <c r="E127" s="6" t="str" cm="1">
        <f t="array" ref="E127">_xlfn.IFS(D127&lt;=5,"Newcomer",AND(D127&gt;=6,D127&lt;=10),"Proficient",D127&gt;=10,"Expert")</f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3"/>
        <v>Voluntary</v>
      </c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2"/>
        <v>20</v>
      </c>
      <c r="E128" s="6" t="str" cm="1">
        <f t="array" ref="E128">_xlfn.IFS(D128&lt;=5,"Newcomer",AND(D128&gt;=6,D128&lt;=10),"Proficient",D128&gt;=10,"Expert")</f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3"/>
        <v>Voluntary</v>
      </c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2"/>
        <v>16</v>
      </c>
      <c r="E129" s="6" t="str" cm="1">
        <f t="array" ref="E129">_xlfn.IFS(D129&lt;=5,"Newcomer",AND(D129&gt;=6,D129&lt;=10),"Proficient",D129&gt;=10,"Expert")</f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3"/>
        <v>Voluntary</v>
      </c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2"/>
        <v>20</v>
      </c>
      <c r="E130" s="6" t="str" cm="1">
        <f t="array" ref="E130">_xlfn.IFS(D130&lt;=5,"Newcomer",AND(D130&gt;=6,D130&lt;=10),"Proficient",D130&gt;=10,"Expert")</f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3"/>
        <v>Voluntary</v>
      </c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4">YEAR(C131)-YEAR(B131)</f>
        <v>30</v>
      </c>
      <c r="E131" s="6" t="str" cm="1">
        <f t="array" ref="E131">_xlfn.IFS(D131&lt;=5,"Newcomer",AND(D131&gt;=6,D131&lt;=10),"Proficient",D131&gt;=10,"Expert")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ref="M131:M194" si="5">IF(OR(L131="Retirement",L131="Resignation"),"Voluntary","Involuntary")</f>
        <v>Voluntary</v>
      </c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4"/>
        <v>5</v>
      </c>
      <c r="E132" s="6" t="str" cm="1">
        <f t="array" ref="E132">_xlfn.IFS(D132&lt;=5,"Newcomer",AND(D132&gt;=6,D132&lt;=10),"Proficient",D132&gt;=10,"Expert")</f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5"/>
        <v>Voluntary</v>
      </c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4"/>
        <v>15</v>
      </c>
      <c r="E133" s="6" t="str" cm="1">
        <f t="array" ref="E133">_xlfn.IFS(D133&lt;=5,"Newcomer",AND(D133&gt;=6,D133&lt;=10),"Proficient",D133&gt;=10,"Expert")</f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5"/>
        <v>Voluntary</v>
      </c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4"/>
        <v>5</v>
      </c>
      <c r="E134" s="6" t="str" cm="1">
        <f t="array" ref="E134">_xlfn.IFS(D134&lt;=5,"Newcomer",AND(D134&gt;=6,D134&lt;=10),"Proficient",D134&gt;=10,"Expert")</f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5"/>
        <v>Voluntary</v>
      </c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4"/>
        <v>19</v>
      </c>
      <c r="E135" s="6" t="str" cm="1">
        <f t="array" ref="E135">_xlfn.IFS(D135&lt;=5,"Newcomer",AND(D135&gt;=6,D135&lt;=10),"Proficient",D135&gt;=10,"Expert")</f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5"/>
        <v>Voluntary</v>
      </c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4"/>
        <v>8</v>
      </c>
      <c r="E136" s="6" t="str" cm="1">
        <f t="array" ref="E136">_xlfn.IFS(D136&lt;=5,"Newcomer",AND(D136&gt;=6,D136&lt;=10),"Proficient",D136&gt;=10,"Expert")</f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5"/>
        <v>Involuntary</v>
      </c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4"/>
        <v>6</v>
      </c>
      <c r="E137" s="6" t="str" cm="1">
        <f t="array" ref="E137">_xlfn.IFS(D137&lt;=5,"Newcomer",AND(D137&gt;=6,D137&lt;=10),"Proficient",D137&gt;=10,"Expert")</f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5"/>
        <v>Voluntary</v>
      </c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4"/>
        <v>26</v>
      </c>
      <c r="E138" s="6" t="str" cm="1">
        <f t="array" ref="E138">_xlfn.IFS(D138&lt;=5,"Newcomer",AND(D138&gt;=6,D138&lt;=10),"Proficient",D138&gt;=10,"Expert")</f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5"/>
        <v>Voluntary</v>
      </c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4"/>
        <v>21</v>
      </c>
      <c r="E139" s="6" t="str" cm="1">
        <f t="array" ref="E139">_xlfn.IFS(D139&lt;=5,"Newcomer",AND(D139&gt;=6,D139&lt;=10),"Proficient",D139&gt;=10,"Expert")</f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5"/>
        <v>Voluntary</v>
      </c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4"/>
        <v>11</v>
      </c>
      <c r="E140" s="6" t="str" cm="1">
        <f t="array" ref="E140">_xlfn.IFS(D140&lt;=5,"Newcomer",AND(D140&gt;=6,D140&lt;=10),"Proficient",D140&gt;=10,"Expert")</f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5"/>
        <v>Voluntary</v>
      </c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4"/>
        <v>16</v>
      </c>
      <c r="E141" s="6" t="str" cm="1">
        <f t="array" ref="E141">_xlfn.IFS(D141&lt;=5,"Newcomer",AND(D141&gt;=6,D141&lt;=10),"Proficient",D141&gt;=10,"Expert")</f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5"/>
        <v>Voluntary</v>
      </c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4"/>
        <v>21</v>
      </c>
      <c r="E142" s="6" t="str" cm="1">
        <f t="array" ref="E142">_xlfn.IFS(D142&lt;=5,"Newcomer",AND(D142&gt;=6,D142&lt;=10),"Proficient",D142&gt;=10,"Expert")</f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5"/>
        <v>Voluntary</v>
      </c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4"/>
        <v>12</v>
      </c>
      <c r="E143" s="6" t="str" cm="1">
        <f t="array" ref="E143">_xlfn.IFS(D143&lt;=5,"Newcomer",AND(D143&gt;=6,D143&lt;=10),"Proficient",D143&gt;=10,"Expert")</f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5"/>
        <v>Voluntary</v>
      </c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4"/>
        <v>22</v>
      </c>
      <c r="E144" s="6" t="str" cm="1">
        <f t="array" ref="E144">_xlfn.IFS(D144&lt;=5,"Newcomer",AND(D144&gt;=6,D144&lt;=10),"Proficient",D144&gt;=10,"Expert")</f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5"/>
        <v>Voluntary</v>
      </c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4"/>
        <v>30</v>
      </c>
      <c r="E145" s="6" t="str" cm="1">
        <f t="array" ref="E145">_xlfn.IFS(D145&lt;=5,"Newcomer",AND(D145&gt;=6,D145&lt;=10),"Proficient",D145&gt;=10,"Expert")</f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5"/>
        <v>Voluntary</v>
      </c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4"/>
        <v>13</v>
      </c>
      <c r="E146" s="6" t="str" cm="1">
        <f t="array" ref="E146">_xlfn.IFS(D146&lt;=5,"Newcomer",AND(D146&gt;=6,D146&lt;=10),"Proficient",D146&gt;=10,"Expert")</f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5"/>
        <v>Voluntary</v>
      </c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4"/>
        <v>30</v>
      </c>
      <c r="E147" s="6" t="str" cm="1">
        <f t="array" ref="E147">_xlfn.IFS(D147&lt;=5,"Newcomer",AND(D147&gt;=6,D147&lt;=10),"Proficient",D147&gt;=10,"Expert")</f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5"/>
        <v>Voluntary</v>
      </c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4"/>
        <v>5</v>
      </c>
      <c r="E148" s="6" t="str" cm="1">
        <f t="array" ref="E148">_xlfn.IFS(D148&lt;=5,"Newcomer",AND(D148&gt;=6,D148&lt;=10),"Proficient",D148&gt;=10,"Expert")</f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5"/>
        <v>Voluntary</v>
      </c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4"/>
        <v>19</v>
      </c>
      <c r="E149" s="6" t="str" cm="1">
        <f t="array" ref="E149">_xlfn.IFS(D149&lt;=5,"Newcomer",AND(D149&gt;=6,D149&lt;=10),"Proficient",D149&gt;=10,"Expert")</f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5"/>
        <v>Voluntary</v>
      </c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4"/>
        <v>8</v>
      </c>
      <c r="E150" s="6" t="str" cm="1">
        <f t="array" ref="E150">_xlfn.IFS(D150&lt;=5,"Newcomer",AND(D150&gt;=6,D150&lt;=10),"Proficient",D150&gt;=10,"Expert")</f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5"/>
        <v>Voluntary</v>
      </c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4"/>
        <v>20</v>
      </c>
      <c r="E151" s="6" t="str" cm="1">
        <f t="array" ref="E151">_xlfn.IFS(D151&lt;=5,"Newcomer",AND(D151&gt;=6,D151&lt;=10),"Proficient",D151&gt;=10,"Expert")</f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5"/>
        <v>Voluntary</v>
      </c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4"/>
        <v>18</v>
      </c>
      <c r="E152" s="6" t="str" cm="1">
        <f t="array" ref="E152">_xlfn.IFS(D152&lt;=5,"Newcomer",AND(D152&gt;=6,D152&lt;=10),"Proficient",D152&gt;=10,"Expert")</f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5"/>
        <v>Voluntary</v>
      </c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4"/>
        <v>15</v>
      </c>
      <c r="E153" s="6" t="str" cm="1">
        <f t="array" ref="E153">_xlfn.IFS(D153&lt;=5,"Newcomer",AND(D153&gt;=6,D153&lt;=10),"Proficient",D153&gt;=10,"Expert")</f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5"/>
        <v>Voluntary</v>
      </c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4"/>
        <v>8</v>
      </c>
      <c r="E154" s="6" t="str" cm="1">
        <f t="array" ref="E154">_xlfn.IFS(D154&lt;=5,"Newcomer",AND(D154&gt;=6,D154&lt;=10),"Proficient",D154&gt;=10,"Expert")</f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5"/>
        <v>Voluntary</v>
      </c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4"/>
        <v>5</v>
      </c>
      <c r="E155" s="6" t="str" cm="1">
        <f t="array" ref="E155">_xlfn.IFS(D155&lt;=5,"Newcomer",AND(D155&gt;=6,D155&lt;=10),"Proficient",D155&gt;=10,"Expert")</f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5"/>
        <v>Voluntary</v>
      </c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4"/>
        <v>20</v>
      </c>
      <c r="E156" s="6" t="str" cm="1">
        <f t="array" ref="E156">_xlfn.IFS(D156&lt;=5,"Newcomer",AND(D156&gt;=6,D156&lt;=10),"Proficient",D156&gt;=10,"Expert")</f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5"/>
        <v>Voluntary</v>
      </c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4"/>
        <v>23</v>
      </c>
      <c r="E157" s="6" t="str" cm="1">
        <f t="array" ref="E157">_xlfn.IFS(D157&lt;=5,"Newcomer",AND(D157&gt;=6,D157&lt;=10),"Proficient",D157&gt;=10,"Expert")</f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5"/>
        <v>Voluntary</v>
      </c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4"/>
        <v>14</v>
      </c>
      <c r="E158" s="6" t="str" cm="1">
        <f t="array" ref="E158">_xlfn.IFS(D158&lt;=5,"Newcomer",AND(D158&gt;=6,D158&lt;=10),"Proficient",D158&gt;=10,"Expert")</f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5"/>
        <v>Voluntary</v>
      </c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4"/>
        <v>14</v>
      </c>
      <c r="E159" s="6" t="str" cm="1">
        <f t="array" ref="E159">_xlfn.IFS(D159&lt;=5,"Newcomer",AND(D159&gt;=6,D159&lt;=10),"Proficient",D159&gt;=10,"Expert")</f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5"/>
        <v>Voluntary</v>
      </c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4"/>
        <v>19</v>
      </c>
      <c r="E160" s="6" t="str" cm="1">
        <f t="array" ref="E160">_xlfn.IFS(D160&lt;=5,"Newcomer",AND(D160&gt;=6,D160&lt;=10),"Proficient",D160&gt;=10,"Expert")</f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5"/>
        <v>Voluntary</v>
      </c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4"/>
        <v>6</v>
      </c>
      <c r="E161" s="6" t="str" cm="1">
        <f t="array" ref="E161">_xlfn.IFS(D161&lt;=5,"Newcomer",AND(D161&gt;=6,D161&lt;=10),"Proficient",D161&gt;=10,"Expert")</f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5"/>
        <v>Voluntary</v>
      </c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4"/>
        <v>19</v>
      </c>
      <c r="E162" s="6" t="str" cm="1">
        <f t="array" ref="E162">_xlfn.IFS(D162&lt;=5,"Newcomer",AND(D162&gt;=6,D162&lt;=10),"Proficient",D162&gt;=10,"Expert")</f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5"/>
        <v>Voluntary</v>
      </c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4"/>
        <v>28</v>
      </c>
      <c r="E163" s="6" t="str" cm="1">
        <f t="array" ref="E163">_xlfn.IFS(D163&lt;=5,"Newcomer",AND(D163&gt;=6,D163&lt;=10),"Proficient",D163&gt;=10,"Expert")</f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5"/>
        <v>Voluntary</v>
      </c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4"/>
        <v>9</v>
      </c>
      <c r="E164" s="6" t="str" cm="1">
        <f t="array" ref="E164">_xlfn.IFS(D164&lt;=5,"Newcomer",AND(D164&gt;=6,D164&lt;=10),"Proficient",D164&gt;=10,"Expert")</f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5"/>
        <v>Voluntary</v>
      </c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4"/>
        <v>22</v>
      </c>
      <c r="E165" s="6" t="str" cm="1">
        <f t="array" ref="E165">_xlfn.IFS(D165&lt;=5,"Newcomer",AND(D165&gt;=6,D165&lt;=10),"Proficient",D165&gt;=10,"Expert")</f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5"/>
        <v>Voluntary</v>
      </c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4"/>
        <v>24</v>
      </c>
      <c r="E166" s="6" t="str" cm="1">
        <f t="array" ref="E166">_xlfn.IFS(D166&lt;=5,"Newcomer",AND(D166&gt;=6,D166&lt;=10),"Proficient",D166&gt;=10,"Expert")</f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5"/>
        <v>Voluntary</v>
      </c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4"/>
        <v>21</v>
      </c>
      <c r="E167" s="6" t="str" cm="1">
        <f t="array" ref="E167">_xlfn.IFS(D167&lt;=5,"Newcomer",AND(D167&gt;=6,D167&lt;=10),"Proficient",D167&gt;=10,"Expert")</f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5"/>
        <v>Voluntary</v>
      </c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4"/>
        <v>5</v>
      </c>
      <c r="E168" s="6" t="str" cm="1">
        <f t="array" ref="E168">_xlfn.IFS(D168&lt;=5,"Newcomer",AND(D168&gt;=6,D168&lt;=10),"Proficient",D168&gt;=10,"Expert")</f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5"/>
        <v>Voluntary</v>
      </c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4"/>
        <v>19</v>
      </c>
      <c r="E169" s="6" t="str" cm="1">
        <f t="array" ref="E169">_xlfn.IFS(D169&lt;=5,"Newcomer",AND(D169&gt;=6,D169&lt;=10),"Proficient",D169&gt;=10,"Expert")</f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5"/>
        <v>Voluntary</v>
      </c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4"/>
        <v>17</v>
      </c>
      <c r="E170" s="6" t="str" cm="1">
        <f t="array" ref="E170">_xlfn.IFS(D170&lt;=5,"Newcomer",AND(D170&gt;=6,D170&lt;=10),"Proficient",D170&gt;=10,"Expert")</f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5"/>
        <v>Voluntary</v>
      </c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4"/>
        <v>27</v>
      </c>
      <c r="E171" s="6" t="str" cm="1">
        <f t="array" ref="E171">_xlfn.IFS(D171&lt;=5,"Newcomer",AND(D171&gt;=6,D171&lt;=10),"Proficient",D171&gt;=10,"Expert")</f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5"/>
        <v>Voluntary</v>
      </c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4"/>
        <v>10</v>
      </c>
      <c r="E172" s="6" t="str" cm="1">
        <f t="array" ref="E172">_xlfn.IFS(D172&lt;=5,"Newcomer",AND(D172&gt;=6,D172&lt;=10),"Proficient",D172&gt;=10,"Expert")</f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5"/>
        <v>Voluntary</v>
      </c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4"/>
        <v>9</v>
      </c>
      <c r="E173" s="6" t="str" cm="1">
        <f t="array" ref="E173">_xlfn.IFS(D173&lt;=5,"Newcomer",AND(D173&gt;=6,D173&lt;=10),"Proficient",D173&gt;=10,"Expert")</f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5"/>
        <v>Voluntary</v>
      </c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4"/>
        <v>5</v>
      </c>
      <c r="E174" s="6" t="str" cm="1">
        <f t="array" ref="E174">_xlfn.IFS(D174&lt;=5,"Newcomer",AND(D174&gt;=6,D174&lt;=10),"Proficient",D174&gt;=10,"Expert")</f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5"/>
        <v>Voluntary</v>
      </c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4"/>
        <v>13</v>
      </c>
      <c r="E175" s="6" t="str" cm="1">
        <f t="array" ref="E175">_xlfn.IFS(D175&lt;=5,"Newcomer",AND(D175&gt;=6,D175&lt;=10),"Proficient",D175&gt;=10,"Expert")</f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5"/>
        <v>Voluntary</v>
      </c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4"/>
        <v>24</v>
      </c>
      <c r="E176" s="6" t="str" cm="1">
        <f t="array" ref="E176">_xlfn.IFS(D176&lt;=5,"Newcomer",AND(D176&gt;=6,D176&lt;=10),"Proficient",D176&gt;=10,"Expert")</f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5"/>
        <v>Voluntary</v>
      </c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4"/>
        <v>17</v>
      </c>
      <c r="E177" s="6" t="str" cm="1">
        <f t="array" ref="E177">_xlfn.IFS(D177&lt;=5,"Newcomer",AND(D177&gt;=6,D177&lt;=10),"Proficient",D177&gt;=10,"Expert")</f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5"/>
        <v>Voluntary</v>
      </c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4"/>
        <v>14</v>
      </c>
      <c r="E178" s="6" t="str" cm="1">
        <f t="array" ref="E178">_xlfn.IFS(D178&lt;=5,"Newcomer",AND(D178&gt;=6,D178&lt;=10),"Proficient",D178&gt;=10,"Expert")</f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5"/>
        <v>Voluntary</v>
      </c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4"/>
        <v>11</v>
      </c>
      <c r="E179" s="6" t="str" cm="1">
        <f t="array" ref="E179">_xlfn.IFS(D179&lt;=5,"Newcomer",AND(D179&gt;=6,D179&lt;=10),"Proficient",D179&gt;=10,"Expert")</f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5"/>
        <v>Voluntary</v>
      </c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4"/>
        <v>11</v>
      </c>
      <c r="E180" s="6" t="str" cm="1">
        <f t="array" ref="E180">_xlfn.IFS(D180&lt;=5,"Newcomer",AND(D180&gt;=6,D180&lt;=10),"Proficient",D180&gt;=10,"Expert")</f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5"/>
        <v>Voluntary</v>
      </c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4"/>
        <v>12</v>
      </c>
      <c r="E181" s="6" t="str" cm="1">
        <f t="array" ref="E181">_xlfn.IFS(D181&lt;=5,"Newcomer",AND(D181&gt;=6,D181&lt;=10),"Proficient",D181&gt;=10,"Expert")</f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5"/>
        <v>Involuntary</v>
      </c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4"/>
        <v>23</v>
      </c>
      <c r="E182" s="6" t="str" cm="1">
        <f t="array" ref="E182">_xlfn.IFS(D182&lt;=5,"Newcomer",AND(D182&gt;=6,D182&lt;=10),"Proficient",D182&gt;=10,"Expert")</f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5"/>
        <v>Voluntary</v>
      </c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4"/>
        <v>8</v>
      </c>
      <c r="E183" s="6" t="str" cm="1">
        <f t="array" ref="E183">_xlfn.IFS(D183&lt;=5,"Newcomer",AND(D183&gt;=6,D183&lt;=10),"Proficient",D183&gt;=10,"Expert")</f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5"/>
        <v>Voluntary</v>
      </c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4"/>
        <v>22</v>
      </c>
      <c r="E184" s="6" t="str" cm="1">
        <f t="array" ref="E184">_xlfn.IFS(D184&lt;=5,"Newcomer",AND(D184&gt;=6,D184&lt;=10),"Proficient",D184&gt;=10,"Expert")</f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5"/>
        <v>Voluntary</v>
      </c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4"/>
        <v>15</v>
      </c>
      <c r="E185" s="6" t="str" cm="1">
        <f t="array" ref="E185">_xlfn.IFS(D185&lt;=5,"Newcomer",AND(D185&gt;=6,D185&lt;=10),"Proficient",D185&gt;=10,"Expert")</f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5"/>
        <v>Voluntary</v>
      </c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4"/>
        <v>19</v>
      </c>
      <c r="E186" s="6" t="str" cm="1">
        <f t="array" ref="E186">_xlfn.IFS(D186&lt;=5,"Newcomer",AND(D186&gt;=6,D186&lt;=10),"Proficient",D186&gt;=10,"Expert")</f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5"/>
        <v>Voluntary</v>
      </c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4"/>
        <v>29</v>
      </c>
      <c r="E187" s="6" t="str" cm="1">
        <f t="array" ref="E187">_xlfn.IFS(D187&lt;=5,"Newcomer",AND(D187&gt;=6,D187&lt;=10),"Proficient",D187&gt;=10,"Expert")</f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5"/>
        <v>Voluntary</v>
      </c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4"/>
        <v>17</v>
      </c>
      <c r="E188" s="6" t="str" cm="1">
        <f t="array" ref="E188">_xlfn.IFS(D188&lt;=5,"Newcomer",AND(D188&gt;=6,D188&lt;=10),"Proficient",D188&gt;=10,"Expert")</f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5"/>
        <v>Voluntary</v>
      </c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4"/>
        <v>11</v>
      </c>
      <c r="E189" s="6" t="str" cm="1">
        <f t="array" ref="E189">_xlfn.IFS(D189&lt;=5,"Newcomer",AND(D189&gt;=6,D189&lt;=10),"Proficient",D189&gt;=10,"Expert")</f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5"/>
        <v>Voluntary</v>
      </c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4"/>
        <v>8</v>
      </c>
      <c r="E190" s="6" t="str" cm="1">
        <f t="array" ref="E190">_xlfn.IFS(D190&lt;=5,"Newcomer",AND(D190&gt;=6,D190&lt;=10),"Proficient",D190&gt;=10,"Expert")</f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5"/>
        <v>Voluntary</v>
      </c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4"/>
        <v>26</v>
      </c>
      <c r="E191" s="6" t="str" cm="1">
        <f t="array" ref="E191">_xlfn.IFS(D191&lt;=5,"Newcomer",AND(D191&gt;=6,D191&lt;=10),"Proficient",D191&gt;=10,"Expert")</f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5"/>
        <v>Voluntary</v>
      </c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4"/>
        <v>21</v>
      </c>
      <c r="E192" s="6" t="str" cm="1">
        <f t="array" ref="E192">_xlfn.IFS(D192&lt;=5,"Newcomer",AND(D192&gt;=6,D192&lt;=10),"Proficient",D192&gt;=10,"Expert")</f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5"/>
        <v>Voluntary</v>
      </c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4"/>
        <v>29</v>
      </c>
      <c r="E193" s="6" t="str" cm="1">
        <f t="array" ref="E193">_xlfn.IFS(D193&lt;=5,"Newcomer",AND(D193&gt;=6,D193&lt;=10),"Proficient",D193&gt;=10,"Expert")</f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5"/>
        <v>Voluntary</v>
      </c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4"/>
        <v>20</v>
      </c>
      <c r="E194" s="6" t="str" cm="1">
        <f t="array" ref="E194">_xlfn.IFS(D194&lt;=5,"Newcomer",AND(D194&gt;=6,D194&lt;=10),"Proficient",D194&gt;=10,"Expert")</f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5"/>
        <v>Voluntary</v>
      </c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6">YEAR(C195)-YEAR(B195)</f>
        <v>15</v>
      </c>
      <c r="E195" s="6" t="str" cm="1">
        <f t="array" ref="E195">_xlfn.IFS(D195&lt;=5,"Newcomer",AND(D195&gt;=6,D195&lt;=10),"Proficient",D195&gt;=10,"Expert")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ref="M195:M258" si="7">IF(OR(L195="Retirement",L195="Resignation"),"Voluntary","Involuntary")</f>
        <v>Voluntary</v>
      </c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6"/>
        <v>25</v>
      </c>
      <c r="E196" s="6" t="str" cm="1">
        <f t="array" ref="E196">_xlfn.IFS(D196&lt;=5,"Newcomer",AND(D196&gt;=6,D196&lt;=10),"Proficient",D196&gt;=10,"Expert")</f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7"/>
        <v>Voluntary</v>
      </c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6"/>
        <v>7</v>
      </c>
      <c r="E197" s="6" t="str" cm="1">
        <f t="array" ref="E197">_xlfn.IFS(D197&lt;=5,"Newcomer",AND(D197&gt;=6,D197&lt;=10),"Proficient",D197&gt;=10,"Expert")</f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7"/>
        <v>Voluntary</v>
      </c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6"/>
        <v>23</v>
      </c>
      <c r="E198" s="6" t="str" cm="1">
        <f t="array" ref="E198">_xlfn.IFS(D198&lt;=5,"Newcomer",AND(D198&gt;=6,D198&lt;=10),"Proficient",D198&gt;=10,"Expert")</f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7"/>
        <v>Voluntary</v>
      </c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6"/>
        <v>27</v>
      </c>
      <c r="E199" s="6" t="str" cm="1">
        <f t="array" ref="E199">_xlfn.IFS(D199&lt;=5,"Newcomer",AND(D199&gt;=6,D199&lt;=10),"Proficient",D199&gt;=10,"Expert")</f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7"/>
        <v>Voluntary</v>
      </c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6"/>
        <v>12</v>
      </c>
      <c r="E200" s="6" t="str" cm="1">
        <f t="array" ref="E200">_xlfn.IFS(D200&lt;=5,"Newcomer",AND(D200&gt;=6,D200&lt;=10),"Proficient",D200&gt;=10,"Expert")</f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7"/>
        <v>Voluntary</v>
      </c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6"/>
        <v>5</v>
      </c>
      <c r="E201" s="6" t="str" cm="1">
        <f t="array" ref="E201">_xlfn.IFS(D201&lt;=5,"Newcomer",AND(D201&gt;=6,D201&lt;=10),"Proficient",D201&gt;=10,"Expert")</f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7"/>
        <v>Voluntary</v>
      </c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6"/>
        <v>26</v>
      </c>
      <c r="E202" s="6" t="str" cm="1">
        <f t="array" ref="E202">_xlfn.IFS(D202&lt;=5,"Newcomer",AND(D202&gt;=6,D202&lt;=10),"Proficient",D202&gt;=10,"Expert")</f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7"/>
        <v>Voluntary</v>
      </c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6"/>
        <v>15</v>
      </c>
      <c r="E203" s="6" t="str" cm="1">
        <f t="array" ref="E203">_xlfn.IFS(D203&lt;=5,"Newcomer",AND(D203&gt;=6,D203&lt;=10),"Proficient",D203&gt;=10,"Expert")</f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7"/>
        <v>Voluntary</v>
      </c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6"/>
        <v>29</v>
      </c>
      <c r="E204" s="6" t="str" cm="1">
        <f t="array" ref="E204">_xlfn.IFS(D204&lt;=5,"Newcomer",AND(D204&gt;=6,D204&lt;=10),"Proficient",D204&gt;=10,"Expert")</f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7"/>
        <v>Voluntary</v>
      </c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6"/>
        <v>20</v>
      </c>
      <c r="E205" s="6" t="str" cm="1">
        <f t="array" ref="E205">_xlfn.IFS(D205&lt;=5,"Newcomer",AND(D205&gt;=6,D205&lt;=10),"Proficient",D205&gt;=10,"Expert")</f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7"/>
        <v>Voluntary</v>
      </c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6"/>
        <v>25</v>
      </c>
      <c r="E206" s="6" t="str" cm="1">
        <f t="array" ref="E206">_xlfn.IFS(D206&lt;=5,"Newcomer",AND(D206&gt;=6,D206&lt;=10),"Proficient",D206&gt;=10,"Expert")</f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7"/>
        <v>Voluntary</v>
      </c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6"/>
        <v>24</v>
      </c>
      <c r="E207" s="6" t="str" cm="1">
        <f t="array" ref="E207">_xlfn.IFS(D207&lt;=5,"Newcomer",AND(D207&gt;=6,D207&lt;=10),"Proficient",D207&gt;=10,"Expert")</f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7"/>
        <v>Voluntary</v>
      </c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6"/>
        <v>21</v>
      </c>
      <c r="E208" s="6" t="str" cm="1">
        <f t="array" ref="E208">_xlfn.IFS(D208&lt;=5,"Newcomer",AND(D208&gt;=6,D208&lt;=10),"Proficient",D208&gt;=10,"Expert")</f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7"/>
        <v>Voluntary</v>
      </c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6"/>
        <v>25</v>
      </c>
      <c r="E209" s="6" t="str" cm="1">
        <f t="array" ref="E209">_xlfn.IFS(D209&lt;=5,"Newcomer",AND(D209&gt;=6,D209&lt;=10),"Proficient",D209&gt;=10,"Expert")</f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7"/>
        <v>Voluntary</v>
      </c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6"/>
        <v>27</v>
      </c>
      <c r="E210" s="6" t="str" cm="1">
        <f t="array" ref="E210">_xlfn.IFS(D210&lt;=5,"Newcomer",AND(D210&gt;=6,D210&lt;=10),"Proficient",D210&gt;=10,"Expert")</f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7"/>
        <v>Voluntary</v>
      </c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6"/>
        <v>21</v>
      </c>
      <c r="E211" s="6" t="str" cm="1">
        <f t="array" ref="E211">_xlfn.IFS(D211&lt;=5,"Newcomer",AND(D211&gt;=6,D211&lt;=10),"Proficient",D211&gt;=10,"Expert")</f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7"/>
        <v>Voluntary</v>
      </c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6"/>
        <v>20</v>
      </c>
      <c r="E212" s="6" t="str" cm="1">
        <f t="array" ref="E212">_xlfn.IFS(D212&lt;=5,"Newcomer",AND(D212&gt;=6,D212&lt;=10),"Proficient",D212&gt;=10,"Expert")</f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7"/>
        <v>Voluntary</v>
      </c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6"/>
        <v>15</v>
      </c>
      <c r="E213" s="6" t="str" cm="1">
        <f t="array" ref="E213">_xlfn.IFS(D213&lt;=5,"Newcomer",AND(D213&gt;=6,D213&lt;=10),"Proficient",D213&gt;=10,"Expert")</f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7"/>
        <v>Voluntary</v>
      </c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6"/>
        <v>23</v>
      </c>
      <c r="E214" s="6" t="str" cm="1">
        <f t="array" ref="E214">_xlfn.IFS(D214&lt;=5,"Newcomer",AND(D214&gt;=6,D214&lt;=10),"Proficient",D214&gt;=10,"Expert")</f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7"/>
        <v>Voluntary</v>
      </c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6"/>
        <v>26</v>
      </c>
      <c r="E215" s="6" t="str" cm="1">
        <f t="array" ref="E215">_xlfn.IFS(D215&lt;=5,"Newcomer",AND(D215&gt;=6,D215&lt;=10),"Proficient",D215&gt;=10,"Expert")</f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7"/>
        <v>Voluntary</v>
      </c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6"/>
        <v>18</v>
      </c>
      <c r="E216" s="6" t="str" cm="1">
        <f t="array" ref="E216">_xlfn.IFS(D216&lt;=5,"Newcomer",AND(D216&gt;=6,D216&lt;=10),"Proficient",D216&gt;=10,"Expert")</f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7"/>
        <v>Voluntary</v>
      </c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6"/>
        <v>28</v>
      </c>
      <c r="E217" s="6" t="str" cm="1">
        <f t="array" ref="E217">_xlfn.IFS(D217&lt;=5,"Newcomer",AND(D217&gt;=6,D217&lt;=10),"Proficient",D217&gt;=10,"Expert")</f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7"/>
        <v>Voluntary</v>
      </c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6"/>
        <v>24</v>
      </c>
      <c r="E218" s="6" t="str" cm="1">
        <f t="array" ref="E218">_xlfn.IFS(D218&lt;=5,"Newcomer",AND(D218&gt;=6,D218&lt;=10),"Proficient",D218&gt;=10,"Expert")</f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7"/>
        <v>Voluntary</v>
      </c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6"/>
        <v>7</v>
      </c>
      <c r="E219" s="6" t="str" cm="1">
        <f t="array" ref="E219">_xlfn.IFS(D219&lt;=5,"Newcomer",AND(D219&gt;=6,D219&lt;=10),"Proficient",D219&gt;=10,"Expert")</f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7"/>
        <v>Voluntary</v>
      </c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6"/>
        <v>15</v>
      </c>
      <c r="E220" s="6" t="str" cm="1">
        <f t="array" ref="E220">_xlfn.IFS(D220&lt;=5,"Newcomer",AND(D220&gt;=6,D220&lt;=10),"Proficient",D220&gt;=10,"Expert")</f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7"/>
        <v>Voluntary</v>
      </c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6"/>
        <v>26</v>
      </c>
      <c r="E221" s="6" t="str" cm="1">
        <f t="array" ref="E221">_xlfn.IFS(D221&lt;=5,"Newcomer",AND(D221&gt;=6,D221&lt;=10),"Proficient",D221&gt;=10,"Expert")</f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7"/>
        <v>Voluntary</v>
      </c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6"/>
        <v>27</v>
      </c>
      <c r="E222" s="6" t="str" cm="1">
        <f t="array" ref="E222">_xlfn.IFS(D222&lt;=5,"Newcomer",AND(D222&gt;=6,D222&lt;=10),"Proficient",D222&gt;=10,"Expert")</f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7"/>
        <v>Voluntary</v>
      </c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6"/>
        <v>6</v>
      </c>
      <c r="E223" s="6" t="str" cm="1">
        <f t="array" ref="E223">_xlfn.IFS(D223&lt;=5,"Newcomer",AND(D223&gt;=6,D223&lt;=10),"Proficient",D223&gt;=10,"Expert")</f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7"/>
        <v>Voluntary</v>
      </c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6"/>
        <v>17</v>
      </c>
      <c r="E224" s="6" t="str" cm="1">
        <f t="array" ref="E224">_xlfn.IFS(D224&lt;=5,"Newcomer",AND(D224&gt;=6,D224&lt;=10),"Proficient",D224&gt;=10,"Expert")</f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7"/>
        <v>Voluntary</v>
      </c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6"/>
        <v>16</v>
      </c>
      <c r="E225" s="6" t="str" cm="1">
        <f t="array" ref="E225">_xlfn.IFS(D225&lt;=5,"Newcomer",AND(D225&gt;=6,D225&lt;=10),"Proficient",D225&gt;=10,"Expert")</f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7"/>
        <v>Voluntary</v>
      </c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6"/>
        <v>8</v>
      </c>
      <c r="E226" s="6" t="str" cm="1">
        <f t="array" ref="E226">_xlfn.IFS(D226&lt;=5,"Newcomer",AND(D226&gt;=6,D226&lt;=10),"Proficient",D226&gt;=10,"Expert")</f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7"/>
        <v>Voluntary</v>
      </c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6"/>
        <v>15</v>
      </c>
      <c r="E227" s="6" t="str" cm="1">
        <f t="array" ref="E227">_xlfn.IFS(D227&lt;=5,"Newcomer",AND(D227&gt;=6,D227&lt;=10),"Proficient",D227&gt;=10,"Expert")</f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7"/>
        <v>Involuntary</v>
      </c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6"/>
        <v>21</v>
      </c>
      <c r="E228" s="6" t="str" cm="1">
        <f t="array" ref="E228">_xlfn.IFS(D228&lt;=5,"Newcomer",AND(D228&gt;=6,D228&lt;=10),"Proficient",D228&gt;=10,"Expert")</f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7"/>
        <v>Involuntary</v>
      </c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6"/>
        <v>25</v>
      </c>
      <c r="E229" s="6" t="str" cm="1">
        <f t="array" ref="E229">_xlfn.IFS(D229&lt;=5,"Newcomer",AND(D229&gt;=6,D229&lt;=10),"Proficient",D229&gt;=10,"Expert")</f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7"/>
        <v>Voluntary</v>
      </c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6"/>
        <v>11</v>
      </c>
      <c r="E230" s="6" t="str" cm="1">
        <f t="array" ref="E230">_xlfn.IFS(D230&lt;=5,"Newcomer",AND(D230&gt;=6,D230&lt;=10),"Proficient",D230&gt;=10,"Expert")</f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7"/>
        <v>Involuntary</v>
      </c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6"/>
        <v>24</v>
      </c>
      <c r="E231" s="6" t="str" cm="1">
        <f t="array" ref="E231">_xlfn.IFS(D231&lt;=5,"Newcomer",AND(D231&gt;=6,D231&lt;=10),"Proficient",D231&gt;=10,"Expert")</f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7"/>
        <v>Involuntary</v>
      </c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6"/>
        <v>18</v>
      </c>
      <c r="E232" s="6" t="str" cm="1">
        <f t="array" ref="E232">_xlfn.IFS(D232&lt;=5,"Newcomer",AND(D232&gt;=6,D232&lt;=10),"Proficient",D232&gt;=10,"Expert")</f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7"/>
        <v>Involuntary</v>
      </c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6"/>
        <v>17</v>
      </c>
      <c r="E233" s="6" t="str" cm="1">
        <f t="array" ref="E233">_xlfn.IFS(D233&lt;=5,"Newcomer",AND(D233&gt;=6,D233&lt;=10),"Proficient",D233&gt;=10,"Expert")</f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7"/>
        <v>Involuntary</v>
      </c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6"/>
        <v>21</v>
      </c>
      <c r="E234" s="6" t="str" cm="1">
        <f t="array" ref="E234">_xlfn.IFS(D234&lt;=5,"Newcomer",AND(D234&gt;=6,D234&lt;=10),"Proficient",D234&gt;=10,"Expert")</f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7"/>
        <v>Involuntary</v>
      </c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6"/>
        <v>11</v>
      </c>
      <c r="E235" s="6" t="str" cm="1">
        <f t="array" ref="E235">_xlfn.IFS(D235&lt;=5,"Newcomer",AND(D235&gt;=6,D235&lt;=10),"Proficient",D235&gt;=10,"Expert")</f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7"/>
        <v>Involuntary</v>
      </c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6"/>
        <v>30</v>
      </c>
      <c r="E236" s="6" t="str" cm="1">
        <f t="array" ref="E236">_xlfn.IFS(D236&lt;=5,"Newcomer",AND(D236&gt;=6,D236&lt;=10),"Proficient",D236&gt;=10,"Expert")</f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7"/>
        <v>Involuntary</v>
      </c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6"/>
        <v>13</v>
      </c>
      <c r="E237" s="6" t="str" cm="1">
        <f t="array" ref="E237">_xlfn.IFS(D237&lt;=5,"Newcomer",AND(D237&gt;=6,D237&lt;=10),"Proficient",D237&gt;=10,"Expert")</f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7"/>
        <v>Involuntary</v>
      </c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6"/>
        <v>14</v>
      </c>
      <c r="E238" s="6" t="str" cm="1">
        <f t="array" ref="E238">_xlfn.IFS(D238&lt;=5,"Newcomer",AND(D238&gt;=6,D238&lt;=10),"Proficient",D238&gt;=10,"Expert")</f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7"/>
        <v>Involuntary</v>
      </c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6"/>
        <v>30</v>
      </c>
      <c r="E239" s="6" t="str" cm="1">
        <f t="array" ref="E239">_xlfn.IFS(D239&lt;=5,"Newcomer",AND(D239&gt;=6,D239&lt;=10),"Proficient",D239&gt;=10,"Expert")</f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7"/>
        <v>Involuntary</v>
      </c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6"/>
        <v>20</v>
      </c>
      <c r="E240" s="6" t="str" cm="1">
        <f t="array" ref="E240">_xlfn.IFS(D240&lt;=5,"Newcomer",AND(D240&gt;=6,D240&lt;=10),"Proficient",D240&gt;=10,"Expert")</f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7"/>
        <v>Involuntary</v>
      </c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6"/>
        <v>25</v>
      </c>
      <c r="E241" s="6" t="str" cm="1">
        <f t="array" ref="E241">_xlfn.IFS(D241&lt;=5,"Newcomer",AND(D241&gt;=6,D241&lt;=10),"Proficient",D241&gt;=10,"Expert")</f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7"/>
        <v>Involuntary</v>
      </c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6"/>
        <v>20</v>
      </c>
      <c r="E242" s="6" t="str" cm="1">
        <f t="array" ref="E242">_xlfn.IFS(D242&lt;=5,"Newcomer",AND(D242&gt;=6,D242&lt;=10),"Proficient",D242&gt;=10,"Expert")</f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7"/>
        <v>Involuntary</v>
      </c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6"/>
        <v>8</v>
      </c>
      <c r="E243" s="6" t="str" cm="1">
        <f t="array" ref="E243">_xlfn.IFS(D243&lt;=5,"Newcomer",AND(D243&gt;=6,D243&lt;=10),"Proficient",D243&gt;=10,"Expert")</f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7"/>
        <v>Voluntary</v>
      </c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6"/>
        <v>29</v>
      </c>
      <c r="E244" s="6" t="str" cm="1">
        <f t="array" ref="E244">_xlfn.IFS(D244&lt;=5,"Newcomer",AND(D244&gt;=6,D244&lt;=10),"Proficient",D244&gt;=10,"Expert")</f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7"/>
        <v>Involuntary</v>
      </c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6"/>
        <v>26</v>
      </c>
      <c r="E245" s="6" t="str" cm="1">
        <f t="array" ref="E245">_xlfn.IFS(D245&lt;=5,"Newcomer",AND(D245&gt;=6,D245&lt;=10),"Proficient",D245&gt;=10,"Expert")</f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7"/>
        <v>Voluntary</v>
      </c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6"/>
        <v>12</v>
      </c>
      <c r="E246" s="6" t="str" cm="1">
        <f t="array" ref="E246">_xlfn.IFS(D246&lt;=5,"Newcomer",AND(D246&gt;=6,D246&lt;=10),"Proficient",D246&gt;=10,"Expert")</f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7"/>
        <v>Involuntary</v>
      </c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6"/>
        <v>29</v>
      </c>
      <c r="E247" s="6" t="str" cm="1">
        <f t="array" ref="E247">_xlfn.IFS(D247&lt;=5,"Newcomer",AND(D247&gt;=6,D247&lt;=10),"Proficient",D247&gt;=10,"Expert")</f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7"/>
        <v>Involuntary</v>
      </c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6"/>
        <v>16</v>
      </c>
      <c r="E248" s="6" t="str" cm="1">
        <f t="array" ref="E248">_xlfn.IFS(D248&lt;=5,"Newcomer",AND(D248&gt;=6,D248&lt;=10),"Proficient",D248&gt;=10,"Expert")</f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7"/>
        <v>Involuntary</v>
      </c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6"/>
        <v>22</v>
      </c>
      <c r="E249" s="6" t="str" cm="1">
        <f t="array" ref="E249">_xlfn.IFS(D249&lt;=5,"Newcomer",AND(D249&gt;=6,D249&lt;=10),"Proficient",D249&gt;=10,"Expert")</f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7"/>
        <v>Voluntary</v>
      </c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6"/>
        <v>25</v>
      </c>
      <c r="E250" s="6" t="str" cm="1">
        <f t="array" ref="E250">_xlfn.IFS(D250&lt;=5,"Newcomer",AND(D250&gt;=6,D250&lt;=10),"Proficient",D250&gt;=10,"Expert")</f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7"/>
        <v>Voluntary</v>
      </c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6"/>
        <v>29</v>
      </c>
      <c r="E251" s="6" t="str" cm="1">
        <f t="array" ref="E251">_xlfn.IFS(D251&lt;=5,"Newcomer",AND(D251&gt;=6,D251&lt;=10),"Proficient",D251&gt;=10,"Expert")</f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7"/>
        <v>Involuntary</v>
      </c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6"/>
        <v>7</v>
      </c>
      <c r="E252" s="6" t="str" cm="1">
        <f t="array" ref="E252">_xlfn.IFS(D252&lt;=5,"Newcomer",AND(D252&gt;=6,D252&lt;=10),"Proficient",D252&gt;=10,"Expert")</f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7"/>
        <v>Involuntary</v>
      </c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6"/>
        <v>29</v>
      </c>
      <c r="E253" s="6" t="str" cm="1">
        <f t="array" ref="E253">_xlfn.IFS(D253&lt;=5,"Newcomer",AND(D253&gt;=6,D253&lt;=10),"Proficient",D253&gt;=10,"Expert")</f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7"/>
        <v>Involuntary</v>
      </c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6"/>
        <v>14</v>
      </c>
      <c r="E254" s="6" t="str" cm="1">
        <f t="array" ref="E254">_xlfn.IFS(D254&lt;=5,"Newcomer",AND(D254&gt;=6,D254&lt;=10),"Proficient",D254&gt;=10,"Expert")</f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7"/>
        <v>Voluntary</v>
      </c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6"/>
        <v>11</v>
      </c>
      <c r="E255" s="6" t="str" cm="1">
        <f t="array" ref="E255">_xlfn.IFS(D255&lt;=5,"Newcomer",AND(D255&gt;=6,D255&lt;=10),"Proficient",D255&gt;=10,"Expert")</f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7"/>
        <v>Voluntary</v>
      </c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6"/>
        <v>15</v>
      </c>
      <c r="E256" s="6" t="str" cm="1">
        <f t="array" ref="E256">_xlfn.IFS(D256&lt;=5,"Newcomer",AND(D256&gt;=6,D256&lt;=10),"Proficient",D256&gt;=10,"Expert")</f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7"/>
        <v>Voluntary</v>
      </c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6"/>
        <v>26</v>
      </c>
      <c r="E257" s="6" t="str" cm="1">
        <f t="array" ref="E257">_xlfn.IFS(D257&lt;=5,"Newcomer",AND(D257&gt;=6,D257&lt;=10),"Proficient",D257&gt;=10,"Expert")</f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7"/>
        <v>Voluntary</v>
      </c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6"/>
        <v>9</v>
      </c>
      <c r="E258" s="6" t="str" cm="1">
        <f t="array" ref="E258">_xlfn.IFS(D258&lt;=5,"Newcomer",AND(D258&gt;=6,D258&lt;=10),"Proficient",D258&gt;=10,"Expert")</f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7"/>
        <v>Voluntary</v>
      </c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8">YEAR(C259)-YEAR(B259)</f>
        <v>6</v>
      </c>
      <c r="E259" s="6" t="str" cm="1">
        <f t="array" ref="E259">_xlfn.IFS(D259&lt;=5,"Newcomer",AND(D259&gt;=6,D259&lt;=10),"Proficient",D259&gt;=10,"Expert")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ref="M259:M322" si="9">IF(OR(L259="Retirement",L259="Resignation"),"Voluntary","Involuntary")</f>
        <v>Voluntary</v>
      </c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8"/>
        <v>16</v>
      </c>
      <c r="E260" s="6" t="str" cm="1">
        <f t="array" ref="E260">_xlfn.IFS(D260&lt;=5,"Newcomer",AND(D260&gt;=6,D260&lt;=10),"Proficient",D260&gt;=10,"Expert")</f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9"/>
        <v>Involuntary</v>
      </c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8"/>
        <v>14</v>
      </c>
      <c r="E261" s="6" t="str" cm="1">
        <f t="array" ref="E261">_xlfn.IFS(D261&lt;=5,"Newcomer",AND(D261&gt;=6,D261&lt;=10),"Proficient",D261&gt;=10,"Expert")</f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9"/>
        <v>Voluntary</v>
      </c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8"/>
        <v>11</v>
      </c>
      <c r="E262" s="6" t="str" cm="1">
        <f t="array" ref="E262">_xlfn.IFS(D262&lt;=5,"Newcomer",AND(D262&gt;=6,D262&lt;=10),"Proficient",D262&gt;=10,"Expert")</f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9"/>
        <v>Voluntary</v>
      </c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8"/>
        <v>15</v>
      </c>
      <c r="E263" s="6" t="str" cm="1">
        <f t="array" ref="E263">_xlfn.IFS(D263&lt;=5,"Newcomer",AND(D263&gt;=6,D263&lt;=10),"Proficient",D263&gt;=10,"Expert")</f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9"/>
        <v>Voluntary</v>
      </c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8"/>
        <v>16</v>
      </c>
      <c r="E264" s="6" t="str" cm="1">
        <f t="array" ref="E264">_xlfn.IFS(D264&lt;=5,"Newcomer",AND(D264&gt;=6,D264&lt;=10),"Proficient",D264&gt;=10,"Expert")</f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9"/>
        <v>Voluntary</v>
      </c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8"/>
        <v>19</v>
      </c>
      <c r="E265" s="6" t="str" cm="1">
        <f t="array" ref="E265">_xlfn.IFS(D265&lt;=5,"Newcomer",AND(D265&gt;=6,D265&lt;=10),"Proficient",D265&gt;=10,"Expert")</f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9"/>
        <v>Voluntary</v>
      </c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8"/>
        <v>27</v>
      </c>
      <c r="E266" s="6" t="str" cm="1">
        <f t="array" ref="E266">_xlfn.IFS(D266&lt;=5,"Newcomer",AND(D266&gt;=6,D266&lt;=10),"Proficient",D266&gt;=10,"Expert")</f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9"/>
        <v>Voluntary</v>
      </c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8"/>
        <v>29</v>
      </c>
      <c r="E267" s="6" t="str" cm="1">
        <f t="array" ref="E267">_xlfn.IFS(D267&lt;=5,"Newcomer",AND(D267&gt;=6,D267&lt;=10),"Proficient",D267&gt;=10,"Expert")</f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9"/>
        <v>Voluntary</v>
      </c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8"/>
        <v>14</v>
      </c>
      <c r="E268" s="6" t="str" cm="1">
        <f t="array" ref="E268">_xlfn.IFS(D268&lt;=5,"Newcomer",AND(D268&gt;=6,D268&lt;=10),"Proficient",D268&gt;=10,"Expert")</f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9"/>
        <v>Involuntary</v>
      </c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8"/>
        <v>19</v>
      </c>
      <c r="E269" s="6" t="str" cm="1">
        <f t="array" ref="E269">_xlfn.IFS(D269&lt;=5,"Newcomer",AND(D269&gt;=6,D269&lt;=10),"Proficient",D269&gt;=10,"Expert")</f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9"/>
        <v>Voluntary</v>
      </c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8"/>
        <v>26</v>
      </c>
      <c r="E270" s="6" t="str" cm="1">
        <f t="array" ref="E270">_xlfn.IFS(D270&lt;=5,"Newcomer",AND(D270&gt;=6,D270&lt;=10),"Proficient",D270&gt;=10,"Expert")</f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9"/>
        <v>Voluntary</v>
      </c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8"/>
        <v>30</v>
      </c>
      <c r="E271" s="6" t="str" cm="1">
        <f t="array" ref="E271">_xlfn.IFS(D271&lt;=5,"Newcomer",AND(D271&gt;=6,D271&lt;=10),"Proficient",D271&gt;=10,"Expert")</f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9"/>
        <v>Voluntary</v>
      </c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8"/>
        <v>27</v>
      </c>
      <c r="E272" s="6" t="str" cm="1">
        <f t="array" ref="E272">_xlfn.IFS(D272&lt;=5,"Newcomer",AND(D272&gt;=6,D272&lt;=10),"Proficient",D272&gt;=10,"Expert")</f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9"/>
        <v>Voluntary</v>
      </c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8"/>
        <v>16</v>
      </c>
      <c r="E273" s="6" t="str" cm="1">
        <f t="array" ref="E273">_xlfn.IFS(D273&lt;=5,"Newcomer",AND(D273&gt;=6,D273&lt;=10),"Proficient",D273&gt;=10,"Expert")</f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9"/>
        <v>Voluntary</v>
      </c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8"/>
        <v>23</v>
      </c>
      <c r="E274" s="6" t="str" cm="1">
        <f t="array" ref="E274">_xlfn.IFS(D274&lt;=5,"Newcomer",AND(D274&gt;=6,D274&lt;=10),"Proficient",D274&gt;=10,"Expert")</f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9"/>
        <v>Voluntary</v>
      </c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8"/>
        <v>9</v>
      </c>
      <c r="E275" s="6" t="str" cm="1">
        <f t="array" ref="E275">_xlfn.IFS(D275&lt;=5,"Newcomer",AND(D275&gt;=6,D275&lt;=10),"Proficient",D275&gt;=10,"Expert")</f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9"/>
        <v>Voluntary</v>
      </c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8"/>
        <v>15</v>
      </c>
      <c r="E276" s="6" t="str" cm="1">
        <f t="array" ref="E276">_xlfn.IFS(D276&lt;=5,"Newcomer",AND(D276&gt;=6,D276&lt;=10),"Proficient",D276&gt;=10,"Expert")</f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9"/>
        <v>Voluntary</v>
      </c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8"/>
        <v>17</v>
      </c>
      <c r="E277" s="6" t="str" cm="1">
        <f t="array" ref="E277">_xlfn.IFS(D277&lt;=5,"Newcomer",AND(D277&gt;=6,D277&lt;=10),"Proficient",D277&gt;=10,"Expert")</f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9"/>
        <v>Voluntary</v>
      </c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8"/>
        <v>29</v>
      </c>
      <c r="E278" s="6" t="str" cm="1">
        <f t="array" ref="E278">_xlfn.IFS(D278&lt;=5,"Newcomer",AND(D278&gt;=6,D278&lt;=10),"Proficient",D278&gt;=10,"Expert")</f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9"/>
        <v>Voluntary</v>
      </c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8"/>
        <v>8</v>
      </c>
      <c r="E279" s="6" t="str" cm="1">
        <f t="array" ref="E279">_xlfn.IFS(D279&lt;=5,"Newcomer",AND(D279&gt;=6,D279&lt;=10),"Proficient",D279&gt;=10,"Expert")</f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9"/>
        <v>Voluntary</v>
      </c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8"/>
        <v>24</v>
      </c>
      <c r="E280" s="6" t="str" cm="1">
        <f t="array" ref="E280">_xlfn.IFS(D280&lt;=5,"Newcomer",AND(D280&gt;=6,D280&lt;=10),"Proficient",D280&gt;=10,"Expert")</f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9"/>
        <v>Voluntary</v>
      </c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8"/>
        <v>19</v>
      </c>
      <c r="E281" s="6" t="str" cm="1">
        <f t="array" ref="E281">_xlfn.IFS(D281&lt;=5,"Newcomer",AND(D281&gt;=6,D281&lt;=10),"Proficient",D281&gt;=10,"Expert")</f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9"/>
        <v>Voluntary</v>
      </c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8"/>
        <v>17</v>
      </c>
      <c r="E282" s="6" t="str" cm="1">
        <f t="array" ref="E282">_xlfn.IFS(D282&lt;=5,"Newcomer",AND(D282&gt;=6,D282&lt;=10),"Proficient",D282&gt;=10,"Expert")</f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9"/>
        <v>Voluntary</v>
      </c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8"/>
        <v>8</v>
      </c>
      <c r="E283" s="6" t="str" cm="1">
        <f t="array" ref="E283">_xlfn.IFS(D283&lt;=5,"Newcomer",AND(D283&gt;=6,D283&lt;=10),"Proficient",D283&gt;=10,"Expert")</f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9"/>
        <v>Involuntary</v>
      </c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8"/>
        <v>25</v>
      </c>
      <c r="E284" s="6" t="str" cm="1">
        <f t="array" ref="E284">_xlfn.IFS(D284&lt;=5,"Newcomer",AND(D284&gt;=6,D284&lt;=10),"Proficient",D284&gt;=10,"Expert")</f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9"/>
        <v>Voluntary</v>
      </c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8"/>
        <v>17</v>
      </c>
      <c r="E285" s="6" t="str" cm="1">
        <f t="array" ref="E285">_xlfn.IFS(D285&lt;=5,"Newcomer",AND(D285&gt;=6,D285&lt;=10),"Proficient",D285&gt;=10,"Expert")</f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9"/>
        <v>Voluntary</v>
      </c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8"/>
        <v>9</v>
      </c>
      <c r="E286" s="6" t="str" cm="1">
        <f t="array" ref="E286">_xlfn.IFS(D286&lt;=5,"Newcomer",AND(D286&gt;=6,D286&lt;=10),"Proficient",D286&gt;=10,"Expert")</f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9"/>
        <v>Voluntary</v>
      </c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8"/>
        <v>18</v>
      </c>
      <c r="E287" s="6" t="str" cm="1">
        <f t="array" ref="E287">_xlfn.IFS(D287&lt;=5,"Newcomer",AND(D287&gt;=6,D287&lt;=10),"Proficient",D287&gt;=10,"Expert")</f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9"/>
        <v>Voluntary</v>
      </c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8"/>
        <v>15</v>
      </c>
      <c r="E288" s="6" t="str" cm="1">
        <f t="array" ref="E288">_xlfn.IFS(D288&lt;=5,"Newcomer",AND(D288&gt;=6,D288&lt;=10),"Proficient",D288&gt;=10,"Expert")</f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9"/>
        <v>Voluntary</v>
      </c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8"/>
        <v>16</v>
      </c>
      <c r="E289" s="6" t="str" cm="1">
        <f t="array" ref="E289">_xlfn.IFS(D289&lt;=5,"Newcomer",AND(D289&gt;=6,D289&lt;=10),"Proficient",D289&gt;=10,"Expert")</f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9"/>
        <v>Voluntary</v>
      </c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8"/>
        <v>30</v>
      </c>
      <c r="E290" s="6" t="str" cm="1">
        <f t="array" ref="E290">_xlfn.IFS(D290&lt;=5,"Newcomer",AND(D290&gt;=6,D290&lt;=10),"Proficient",D290&gt;=10,"Expert")</f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9"/>
        <v>Voluntary</v>
      </c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8"/>
        <v>16</v>
      </c>
      <c r="E291" s="6" t="str" cm="1">
        <f t="array" ref="E291">_xlfn.IFS(D291&lt;=5,"Newcomer",AND(D291&gt;=6,D291&lt;=10),"Proficient",D291&gt;=10,"Expert")</f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9"/>
        <v>Involuntary</v>
      </c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8"/>
        <v>12</v>
      </c>
      <c r="E292" s="6" t="str" cm="1">
        <f t="array" ref="E292">_xlfn.IFS(D292&lt;=5,"Newcomer",AND(D292&gt;=6,D292&lt;=10),"Proficient",D292&gt;=10,"Expert")</f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9"/>
        <v>Voluntary</v>
      </c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8"/>
        <v>26</v>
      </c>
      <c r="E293" s="6" t="str" cm="1">
        <f t="array" ref="E293">_xlfn.IFS(D293&lt;=5,"Newcomer",AND(D293&gt;=6,D293&lt;=10),"Proficient",D293&gt;=10,"Expert")</f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9"/>
        <v>Voluntary</v>
      </c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8"/>
        <v>5</v>
      </c>
      <c r="E294" s="6" t="str" cm="1">
        <f t="array" ref="E294">_xlfn.IFS(D294&lt;=5,"Newcomer",AND(D294&gt;=6,D294&lt;=10),"Proficient",D294&gt;=10,"Expert")</f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9"/>
        <v>Voluntary</v>
      </c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8"/>
        <v>30</v>
      </c>
      <c r="E295" s="6" t="str" cm="1">
        <f t="array" ref="E295">_xlfn.IFS(D295&lt;=5,"Newcomer",AND(D295&gt;=6,D295&lt;=10),"Proficient",D295&gt;=10,"Expert")</f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9"/>
        <v>Voluntary</v>
      </c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8"/>
        <v>14</v>
      </c>
      <c r="E296" s="6" t="str" cm="1">
        <f t="array" ref="E296">_xlfn.IFS(D296&lt;=5,"Newcomer",AND(D296&gt;=6,D296&lt;=10),"Proficient",D296&gt;=10,"Expert")</f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9"/>
        <v>Voluntary</v>
      </c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8"/>
        <v>6</v>
      </c>
      <c r="E297" s="6" t="str" cm="1">
        <f t="array" ref="E297">_xlfn.IFS(D297&lt;=5,"Newcomer",AND(D297&gt;=6,D297&lt;=10),"Proficient",D297&gt;=10,"Expert")</f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9"/>
        <v>Voluntary</v>
      </c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8"/>
        <v>16</v>
      </c>
      <c r="E298" s="6" t="str" cm="1">
        <f t="array" ref="E298">_xlfn.IFS(D298&lt;=5,"Newcomer",AND(D298&gt;=6,D298&lt;=10),"Proficient",D298&gt;=10,"Expert")</f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9"/>
        <v>Voluntary</v>
      </c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8"/>
        <v>7</v>
      </c>
      <c r="E299" s="6" t="str" cm="1">
        <f t="array" ref="E299">_xlfn.IFS(D299&lt;=5,"Newcomer",AND(D299&gt;=6,D299&lt;=10),"Proficient",D299&gt;=10,"Expert")</f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9"/>
        <v>Voluntary</v>
      </c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8"/>
        <v>17</v>
      </c>
      <c r="E300" s="6" t="str" cm="1">
        <f t="array" ref="E300">_xlfn.IFS(D300&lt;=5,"Newcomer",AND(D300&gt;=6,D300&lt;=10),"Proficient",D300&gt;=10,"Expert")</f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9"/>
        <v>Voluntary</v>
      </c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8"/>
        <v>30</v>
      </c>
      <c r="E301" s="6" t="str" cm="1">
        <f t="array" ref="E301">_xlfn.IFS(D301&lt;=5,"Newcomer",AND(D301&gt;=6,D301&lt;=10),"Proficient",D301&gt;=10,"Expert")</f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9"/>
        <v>Voluntary</v>
      </c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8"/>
        <v>19</v>
      </c>
      <c r="E302" s="6" t="str" cm="1">
        <f t="array" ref="E302">_xlfn.IFS(D302&lt;=5,"Newcomer",AND(D302&gt;=6,D302&lt;=10),"Proficient",D302&gt;=10,"Expert")</f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9"/>
        <v>Voluntary</v>
      </c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8"/>
        <v>14</v>
      </c>
      <c r="E303" s="6" t="str" cm="1">
        <f t="array" ref="E303">_xlfn.IFS(D303&lt;=5,"Newcomer",AND(D303&gt;=6,D303&lt;=10),"Proficient",D303&gt;=10,"Expert")</f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9"/>
        <v>Voluntary</v>
      </c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8"/>
        <v>13</v>
      </c>
      <c r="E304" s="6" t="str" cm="1">
        <f t="array" ref="E304">_xlfn.IFS(D304&lt;=5,"Newcomer",AND(D304&gt;=6,D304&lt;=10),"Proficient",D304&gt;=10,"Expert")</f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9"/>
        <v>Voluntary</v>
      </c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8"/>
        <v>14</v>
      </c>
      <c r="E305" s="6" t="str" cm="1">
        <f t="array" ref="E305">_xlfn.IFS(D305&lt;=5,"Newcomer",AND(D305&gt;=6,D305&lt;=10),"Proficient",D305&gt;=10,"Expert")</f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9"/>
        <v>Involuntary</v>
      </c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8"/>
        <v>22</v>
      </c>
      <c r="E306" s="6" t="str" cm="1">
        <f t="array" ref="E306">_xlfn.IFS(D306&lt;=5,"Newcomer",AND(D306&gt;=6,D306&lt;=10),"Proficient",D306&gt;=10,"Expert")</f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9"/>
        <v>Voluntary</v>
      </c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8"/>
        <v>18</v>
      </c>
      <c r="E307" s="6" t="str" cm="1">
        <f t="array" ref="E307">_xlfn.IFS(D307&lt;=5,"Newcomer",AND(D307&gt;=6,D307&lt;=10),"Proficient",D307&gt;=10,"Expert")</f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9"/>
        <v>Voluntary</v>
      </c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8"/>
        <v>10</v>
      </c>
      <c r="E308" s="6" t="str" cm="1">
        <f t="array" ref="E308">_xlfn.IFS(D308&lt;=5,"Newcomer",AND(D308&gt;=6,D308&lt;=10),"Proficient",D308&gt;=10,"Expert")</f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9"/>
        <v>Voluntary</v>
      </c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8"/>
        <v>15</v>
      </c>
      <c r="E309" s="6" t="str" cm="1">
        <f t="array" ref="E309">_xlfn.IFS(D309&lt;=5,"Newcomer",AND(D309&gt;=6,D309&lt;=10),"Proficient",D309&gt;=10,"Expert")</f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9"/>
        <v>Involuntary</v>
      </c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8"/>
        <v>21</v>
      </c>
      <c r="E310" s="6" t="str" cm="1">
        <f t="array" ref="E310">_xlfn.IFS(D310&lt;=5,"Newcomer",AND(D310&gt;=6,D310&lt;=10),"Proficient",D310&gt;=10,"Expert")</f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9"/>
        <v>Voluntary</v>
      </c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8"/>
        <v>15</v>
      </c>
      <c r="E311" s="6" t="str" cm="1">
        <f t="array" ref="E311">_xlfn.IFS(D311&lt;=5,"Newcomer",AND(D311&gt;=6,D311&lt;=10),"Proficient",D311&gt;=10,"Expert")</f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9"/>
        <v>Voluntary</v>
      </c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8"/>
        <v>29</v>
      </c>
      <c r="E312" s="6" t="str" cm="1">
        <f t="array" ref="E312">_xlfn.IFS(D312&lt;=5,"Newcomer",AND(D312&gt;=6,D312&lt;=10),"Proficient",D312&gt;=10,"Expert")</f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9"/>
        <v>Voluntary</v>
      </c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8"/>
        <v>23</v>
      </c>
      <c r="E313" s="6" t="str" cm="1">
        <f t="array" ref="E313">_xlfn.IFS(D313&lt;=5,"Newcomer",AND(D313&gt;=6,D313&lt;=10),"Proficient",D313&gt;=10,"Expert")</f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9"/>
        <v>Voluntary</v>
      </c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8"/>
        <v>10</v>
      </c>
      <c r="E314" s="6" t="str" cm="1">
        <f t="array" ref="E314">_xlfn.IFS(D314&lt;=5,"Newcomer",AND(D314&gt;=6,D314&lt;=10),"Proficient",D314&gt;=10,"Expert")</f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9"/>
        <v>Voluntary</v>
      </c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8"/>
        <v>26</v>
      </c>
      <c r="E315" s="6" t="str" cm="1">
        <f t="array" ref="E315">_xlfn.IFS(D315&lt;=5,"Newcomer",AND(D315&gt;=6,D315&lt;=10),"Proficient",D315&gt;=10,"Expert")</f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9"/>
        <v>Voluntary</v>
      </c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8"/>
        <v>14</v>
      </c>
      <c r="E316" s="6" t="str" cm="1">
        <f t="array" ref="E316">_xlfn.IFS(D316&lt;=5,"Newcomer",AND(D316&gt;=6,D316&lt;=10),"Proficient",D316&gt;=10,"Expert")</f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9"/>
        <v>Voluntary</v>
      </c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8"/>
        <v>18</v>
      </c>
      <c r="E317" s="6" t="str" cm="1">
        <f t="array" ref="E317">_xlfn.IFS(D317&lt;=5,"Newcomer",AND(D317&gt;=6,D317&lt;=10),"Proficient",D317&gt;=10,"Expert")</f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9"/>
        <v>Voluntary</v>
      </c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8"/>
        <v>26</v>
      </c>
      <c r="E318" s="6" t="str" cm="1">
        <f t="array" ref="E318">_xlfn.IFS(D318&lt;=5,"Newcomer",AND(D318&gt;=6,D318&lt;=10),"Proficient",D318&gt;=10,"Expert")</f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9"/>
        <v>Voluntary</v>
      </c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8"/>
        <v>20</v>
      </c>
      <c r="E319" s="6" t="str" cm="1">
        <f t="array" ref="E319">_xlfn.IFS(D319&lt;=5,"Newcomer",AND(D319&gt;=6,D319&lt;=10),"Proficient",D319&gt;=10,"Expert")</f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9"/>
        <v>Voluntary</v>
      </c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8"/>
        <v>9</v>
      </c>
      <c r="E320" s="6" t="str" cm="1">
        <f t="array" ref="E320">_xlfn.IFS(D320&lt;=5,"Newcomer",AND(D320&gt;=6,D320&lt;=10),"Proficient",D320&gt;=10,"Expert")</f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9"/>
        <v>Voluntary</v>
      </c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8"/>
        <v>13</v>
      </c>
      <c r="E321" s="6" t="str" cm="1">
        <f t="array" ref="E321">_xlfn.IFS(D321&lt;=5,"Newcomer",AND(D321&gt;=6,D321&lt;=10),"Proficient",D321&gt;=10,"Expert")</f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9"/>
        <v>Voluntary</v>
      </c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8"/>
        <v>9</v>
      </c>
      <c r="E322" s="6" t="str" cm="1">
        <f t="array" ref="E322">_xlfn.IFS(D322&lt;=5,"Newcomer",AND(D322&gt;=6,D322&lt;=10),"Proficient",D322&gt;=10,"Expert")</f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9"/>
        <v>Voluntary</v>
      </c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10">YEAR(C323)-YEAR(B323)</f>
        <v>14</v>
      </c>
      <c r="E323" s="6" t="str" cm="1">
        <f t="array" ref="E323">_xlfn.IFS(D323&lt;=5,"Newcomer",AND(D323&gt;=6,D323&lt;=10),"Proficient",D323&gt;=10,"Expert")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ref="M323:M386" si="11">IF(OR(L323="Retirement",L323="Resignation"),"Voluntary","Involuntary")</f>
        <v>Involuntary</v>
      </c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10"/>
        <v>23</v>
      </c>
      <c r="E324" s="6" t="str" cm="1">
        <f t="array" ref="E324">_xlfn.IFS(D324&lt;=5,"Newcomer",AND(D324&gt;=6,D324&lt;=10),"Proficient",D324&gt;=10,"Expert")</f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1"/>
        <v>Involuntary</v>
      </c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10"/>
        <v>15</v>
      </c>
      <c r="E325" s="6" t="str" cm="1">
        <f t="array" ref="E325">_xlfn.IFS(D325&lt;=5,"Newcomer",AND(D325&gt;=6,D325&lt;=10),"Proficient",D325&gt;=10,"Expert")</f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1"/>
        <v>Voluntary</v>
      </c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10"/>
        <v>9</v>
      </c>
      <c r="E326" s="6" t="str" cm="1">
        <f t="array" ref="E326">_xlfn.IFS(D326&lt;=5,"Newcomer",AND(D326&gt;=6,D326&lt;=10),"Proficient",D326&gt;=10,"Expert")</f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1"/>
        <v>Voluntary</v>
      </c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10"/>
        <v>24</v>
      </c>
      <c r="E327" s="6" t="str" cm="1">
        <f t="array" ref="E327">_xlfn.IFS(D327&lt;=5,"Newcomer",AND(D327&gt;=6,D327&lt;=10),"Proficient",D327&gt;=10,"Expert")</f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1"/>
        <v>Voluntary</v>
      </c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10"/>
        <v>29</v>
      </c>
      <c r="E328" s="6" t="str" cm="1">
        <f t="array" ref="E328">_xlfn.IFS(D328&lt;=5,"Newcomer",AND(D328&gt;=6,D328&lt;=10),"Proficient",D328&gt;=10,"Expert")</f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1"/>
        <v>Voluntary</v>
      </c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10"/>
        <v>29</v>
      </c>
      <c r="E329" s="6" t="str" cm="1">
        <f t="array" ref="E329">_xlfn.IFS(D329&lt;=5,"Newcomer",AND(D329&gt;=6,D329&lt;=10),"Proficient",D329&gt;=10,"Expert")</f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1"/>
        <v>Voluntary</v>
      </c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10"/>
        <v>11</v>
      </c>
      <c r="E330" s="6" t="str" cm="1">
        <f t="array" ref="E330">_xlfn.IFS(D330&lt;=5,"Newcomer",AND(D330&gt;=6,D330&lt;=10),"Proficient",D330&gt;=10,"Expert")</f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1"/>
        <v>Voluntary</v>
      </c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10"/>
        <v>8</v>
      </c>
      <c r="E331" s="6" t="str" cm="1">
        <f t="array" ref="E331">_xlfn.IFS(D331&lt;=5,"Newcomer",AND(D331&gt;=6,D331&lt;=10),"Proficient",D331&gt;=10,"Expert")</f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1"/>
        <v>Voluntary</v>
      </c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10"/>
        <v>14</v>
      </c>
      <c r="E332" s="6" t="str" cm="1">
        <f t="array" ref="E332">_xlfn.IFS(D332&lt;=5,"Newcomer",AND(D332&gt;=6,D332&lt;=10),"Proficient",D332&gt;=10,"Expert")</f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1"/>
        <v>Voluntary</v>
      </c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10"/>
        <v>26</v>
      </c>
      <c r="E333" s="6" t="str" cm="1">
        <f t="array" ref="E333">_xlfn.IFS(D333&lt;=5,"Newcomer",AND(D333&gt;=6,D333&lt;=10),"Proficient",D333&gt;=10,"Expert")</f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1"/>
        <v>Voluntary</v>
      </c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10"/>
        <v>18</v>
      </c>
      <c r="E334" s="6" t="str" cm="1">
        <f t="array" ref="E334">_xlfn.IFS(D334&lt;=5,"Newcomer",AND(D334&gt;=6,D334&lt;=10),"Proficient",D334&gt;=10,"Expert")</f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1"/>
        <v>Involuntary</v>
      </c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10"/>
        <v>17</v>
      </c>
      <c r="E335" s="6" t="str" cm="1">
        <f t="array" ref="E335">_xlfn.IFS(D335&lt;=5,"Newcomer",AND(D335&gt;=6,D335&lt;=10),"Proficient",D335&gt;=10,"Expert")</f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1"/>
        <v>Voluntary</v>
      </c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10"/>
        <v>24</v>
      </c>
      <c r="E336" s="6" t="str" cm="1">
        <f t="array" ref="E336">_xlfn.IFS(D336&lt;=5,"Newcomer",AND(D336&gt;=6,D336&lt;=10),"Proficient",D336&gt;=10,"Expert")</f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1"/>
        <v>Voluntary</v>
      </c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10"/>
        <v>24</v>
      </c>
      <c r="E337" s="6" t="str" cm="1">
        <f t="array" ref="E337">_xlfn.IFS(D337&lt;=5,"Newcomer",AND(D337&gt;=6,D337&lt;=10),"Proficient",D337&gt;=10,"Expert")</f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1"/>
        <v>Voluntary</v>
      </c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10"/>
        <v>25</v>
      </c>
      <c r="E338" s="6" t="str" cm="1">
        <f t="array" ref="E338">_xlfn.IFS(D338&lt;=5,"Newcomer",AND(D338&gt;=6,D338&lt;=10),"Proficient",D338&gt;=10,"Expert")</f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1"/>
        <v>Voluntary</v>
      </c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10"/>
        <v>28</v>
      </c>
      <c r="E339" s="6" t="str" cm="1">
        <f t="array" ref="E339">_xlfn.IFS(D339&lt;=5,"Newcomer",AND(D339&gt;=6,D339&lt;=10),"Proficient",D339&gt;=10,"Expert")</f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1"/>
        <v>Voluntary</v>
      </c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10"/>
        <v>17</v>
      </c>
      <c r="E340" s="6" t="str" cm="1">
        <f t="array" ref="E340">_xlfn.IFS(D340&lt;=5,"Newcomer",AND(D340&gt;=6,D340&lt;=10),"Proficient",D340&gt;=10,"Expert")</f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1"/>
        <v>Voluntary</v>
      </c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10"/>
        <v>19</v>
      </c>
      <c r="E341" s="6" t="str" cm="1">
        <f t="array" ref="E341">_xlfn.IFS(D341&lt;=5,"Newcomer",AND(D341&gt;=6,D341&lt;=10),"Proficient",D341&gt;=10,"Expert")</f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1"/>
        <v>Voluntary</v>
      </c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10"/>
        <v>5</v>
      </c>
      <c r="E342" s="6" t="str" cm="1">
        <f t="array" ref="E342">_xlfn.IFS(D342&lt;=5,"Newcomer",AND(D342&gt;=6,D342&lt;=10),"Proficient",D342&gt;=10,"Expert")</f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1"/>
        <v>Voluntary</v>
      </c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10"/>
        <v>18</v>
      </c>
      <c r="E343" s="6" t="str" cm="1">
        <f t="array" ref="E343">_xlfn.IFS(D343&lt;=5,"Newcomer",AND(D343&gt;=6,D343&lt;=10),"Proficient",D343&gt;=10,"Expert")</f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1"/>
        <v>Voluntary</v>
      </c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10"/>
        <v>16</v>
      </c>
      <c r="E344" s="6" t="str" cm="1">
        <f t="array" ref="E344">_xlfn.IFS(D344&lt;=5,"Newcomer",AND(D344&gt;=6,D344&lt;=10),"Proficient",D344&gt;=10,"Expert")</f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1"/>
        <v>Voluntary</v>
      </c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10"/>
        <v>18</v>
      </c>
      <c r="E345" s="6" t="str" cm="1">
        <f t="array" ref="E345">_xlfn.IFS(D345&lt;=5,"Newcomer",AND(D345&gt;=6,D345&lt;=10),"Proficient",D345&gt;=10,"Expert")</f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1"/>
        <v>Voluntary</v>
      </c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10"/>
        <v>5</v>
      </c>
      <c r="E346" s="6" t="str" cm="1">
        <f t="array" ref="E346">_xlfn.IFS(D346&lt;=5,"Newcomer",AND(D346&gt;=6,D346&lt;=10),"Proficient",D346&gt;=10,"Expert")</f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1"/>
        <v>Voluntary</v>
      </c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10"/>
        <v>27</v>
      </c>
      <c r="E347" s="6" t="str" cm="1">
        <f t="array" ref="E347">_xlfn.IFS(D347&lt;=5,"Newcomer",AND(D347&gt;=6,D347&lt;=10),"Proficient",D347&gt;=10,"Expert")</f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1"/>
        <v>Voluntary</v>
      </c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10"/>
        <v>21</v>
      </c>
      <c r="E348" s="6" t="str" cm="1">
        <f t="array" ref="E348">_xlfn.IFS(D348&lt;=5,"Newcomer",AND(D348&gt;=6,D348&lt;=10),"Proficient",D348&gt;=10,"Expert")</f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1"/>
        <v>Voluntary</v>
      </c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10"/>
        <v>18</v>
      </c>
      <c r="E349" s="6" t="str" cm="1">
        <f t="array" ref="E349">_xlfn.IFS(D349&lt;=5,"Newcomer",AND(D349&gt;=6,D349&lt;=10),"Proficient",D349&gt;=10,"Expert")</f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1"/>
        <v>Voluntary</v>
      </c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10"/>
        <v>14</v>
      </c>
      <c r="E350" s="6" t="str" cm="1">
        <f t="array" ref="E350">_xlfn.IFS(D350&lt;=5,"Newcomer",AND(D350&gt;=6,D350&lt;=10),"Proficient",D350&gt;=10,"Expert")</f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1"/>
        <v>Involuntary</v>
      </c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10"/>
        <v>18</v>
      </c>
      <c r="E351" s="6" t="str" cm="1">
        <f t="array" ref="E351">_xlfn.IFS(D351&lt;=5,"Newcomer",AND(D351&gt;=6,D351&lt;=10),"Proficient",D351&gt;=10,"Expert")</f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1"/>
        <v>Voluntary</v>
      </c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10"/>
        <v>10</v>
      </c>
      <c r="E352" s="6" t="str" cm="1">
        <f t="array" ref="E352">_xlfn.IFS(D352&lt;=5,"Newcomer",AND(D352&gt;=6,D352&lt;=10),"Proficient",D352&gt;=10,"Expert")</f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1"/>
        <v>Voluntary</v>
      </c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10"/>
        <v>17</v>
      </c>
      <c r="E353" s="6" t="str" cm="1">
        <f t="array" ref="E353">_xlfn.IFS(D353&lt;=5,"Newcomer",AND(D353&gt;=6,D353&lt;=10),"Proficient",D353&gt;=10,"Expert")</f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1"/>
        <v>Voluntary</v>
      </c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10"/>
        <v>10</v>
      </c>
      <c r="E354" s="6" t="str" cm="1">
        <f t="array" ref="E354">_xlfn.IFS(D354&lt;=5,"Newcomer",AND(D354&gt;=6,D354&lt;=10),"Proficient",D354&gt;=10,"Expert")</f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1"/>
        <v>Voluntary</v>
      </c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10"/>
        <v>20</v>
      </c>
      <c r="E355" s="6" t="str" cm="1">
        <f t="array" ref="E355">_xlfn.IFS(D355&lt;=5,"Newcomer",AND(D355&gt;=6,D355&lt;=10),"Proficient",D355&gt;=10,"Expert")</f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1"/>
        <v>Voluntary</v>
      </c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10"/>
        <v>19</v>
      </c>
      <c r="E356" s="6" t="str" cm="1">
        <f t="array" ref="E356">_xlfn.IFS(D356&lt;=5,"Newcomer",AND(D356&gt;=6,D356&lt;=10),"Proficient",D356&gt;=10,"Expert")</f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1"/>
        <v>Voluntary</v>
      </c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10"/>
        <v>5</v>
      </c>
      <c r="E357" s="6" t="str" cm="1">
        <f t="array" ref="E357">_xlfn.IFS(D357&lt;=5,"Newcomer",AND(D357&gt;=6,D357&lt;=10),"Proficient",D357&gt;=10,"Expert")</f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1"/>
        <v>Voluntary</v>
      </c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10"/>
        <v>27</v>
      </c>
      <c r="E358" s="6" t="str" cm="1">
        <f t="array" ref="E358">_xlfn.IFS(D358&lt;=5,"Newcomer",AND(D358&gt;=6,D358&lt;=10),"Proficient",D358&gt;=10,"Expert")</f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1"/>
        <v>Voluntary</v>
      </c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10"/>
        <v>13</v>
      </c>
      <c r="E359" s="6" t="str" cm="1">
        <f t="array" ref="E359">_xlfn.IFS(D359&lt;=5,"Newcomer",AND(D359&gt;=6,D359&lt;=10),"Proficient",D359&gt;=10,"Expert")</f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1"/>
        <v>Voluntary</v>
      </c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10"/>
        <v>6</v>
      </c>
      <c r="E360" s="6" t="str" cm="1">
        <f t="array" ref="E360">_xlfn.IFS(D360&lt;=5,"Newcomer",AND(D360&gt;=6,D360&lt;=10),"Proficient",D360&gt;=10,"Expert")</f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1"/>
        <v>Involuntary</v>
      </c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10"/>
        <v>24</v>
      </c>
      <c r="E361" s="6" t="str" cm="1">
        <f t="array" ref="E361">_xlfn.IFS(D361&lt;=5,"Newcomer",AND(D361&gt;=6,D361&lt;=10),"Proficient",D361&gt;=10,"Expert")</f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1"/>
        <v>Voluntary</v>
      </c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10"/>
        <v>8</v>
      </c>
      <c r="E362" s="6" t="str" cm="1">
        <f t="array" ref="E362">_xlfn.IFS(D362&lt;=5,"Newcomer",AND(D362&gt;=6,D362&lt;=10),"Proficient",D362&gt;=10,"Expert")</f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1"/>
        <v>Voluntary</v>
      </c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10"/>
        <v>9</v>
      </c>
      <c r="E363" s="6" t="str" cm="1">
        <f t="array" ref="E363">_xlfn.IFS(D363&lt;=5,"Newcomer",AND(D363&gt;=6,D363&lt;=10),"Proficient",D363&gt;=10,"Expert")</f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1"/>
        <v>Voluntary</v>
      </c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10"/>
        <v>27</v>
      </c>
      <c r="E364" s="6" t="str" cm="1">
        <f t="array" ref="E364">_xlfn.IFS(D364&lt;=5,"Newcomer",AND(D364&gt;=6,D364&lt;=10),"Proficient",D364&gt;=10,"Expert")</f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1"/>
        <v>Voluntary</v>
      </c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10"/>
        <v>25</v>
      </c>
      <c r="E365" s="6" t="str" cm="1">
        <f t="array" ref="E365">_xlfn.IFS(D365&lt;=5,"Newcomer",AND(D365&gt;=6,D365&lt;=10),"Proficient",D365&gt;=10,"Expert")</f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1"/>
        <v>Voluntary</v>
      </c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10"/>
        <v>30</v>
      </c>
      <c r="E366" s="6" t="str" cm="1">
        <f t="array" ref="E366">_xlfn.IFS(D366&lt;=5,"Newcomer",AND(D366&gt;=6,D366&lt;=10),"Proficient",D366&gt;=10,"Expert")</f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1"/>
        <v>Voluntary</v>
      </c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10"/>
        <v>30</v>
      </c>
      <c r="E367" s="6" t="str" cm="1">
        <f t="array" ref="E367">_xlfn.IFS(D367&lt;=5,"Newcomer",AND(D367&gt;=6,D367&lt;=10),"Proficient",D367&gt;=10,"Expert")</f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1"/>
        <v>Involuntary</v>
      </c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10"/>
        <v>10</v>
      </c>
      <c r="E368" s="6" t="str" cm="1">
        <f t="array" ref="E368">_xlfn.IFS(D368&lt;=5,"Newcomer",AND(D368&gt;=6,D368&lt;=10),"Proficient",D368&gt;=10,"Expert")</f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1"/>
        <v>Voluntary</v>
      </c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10"/>
        <v>17</v>
      </c>
      <c r="E369" s="6" t="str" cm="1">
        <f t="array" ref="E369">_xlfn.IFS(D369&lt;=5,"Newcomer",AND(D369&gt;=6,D369&lt;=10),"Proficient",D369&gt;=10,"Expert")</f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1"/>
        <v>Voluntary</v>
      </c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10"/>
        <v>11</v>
      </c>
      <c r="E370" s="6" t="str" cm="1">
        <f t="array" ref="E370">_xlfn.IFS(D370&lt;=5,"Newcomer",AND(D370&gt;=6,D370&lt;=10),"Proficient",D370&gt;=10,"Expert")</f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1"/>
        <v>Voluntary</v>
      </c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10"/>
        <v>22</v>
      </c>
      <c r="E371" s="6" t="str" cm="1">
        <f t="array" ref="E371">_xlfn.IFS(D371&lt;=5,"Newcomer",AND(D371&gt;=6,D371&lt;=10),"Proficient",D371&gt;=10,"Expert")</f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1"/>
        <v>Voluntary</v>
      </c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10"/>
        <v>24</v>
      </c>
      <c r="E372" s="6" t="str" cm="1">
        <f t="array" ref="E372">_xlfn.IFS(D372&lt;=5,"Newcomer",AND(D372&gt;=6,D372&lt;=10),"Proficient",D372&gt;=10,"Expert")</f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1"/>
        <v>Voluntary</v>
      </c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10"/>
        <v>24</v>
      </c>
      <c r="E373" s="6" t="str" cm="1">
        <f t="array" ref="E373">_xlfn.IFS(D373&lt;=5,"Newcomer",AND(D373&gt;=6,D373&lt;=10),"Proficient",D373&gt;=10,"Expert")</f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1"/>
        <v>Voluntary</v>
      </c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10"/>
        <v>24</v>
      </c>
      <c r="E374" s="6" t="str" cm="1">
        <f t="array" ref="E374">_xlfn.IFS(D374&lt;=5,"Newcomer",AND(D374&gt;=6,D374&lt;=10),"Proficient",D374&gt;=10,"Expert")</f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1"/>
        <v>Voluntary</v>
      </c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10"/>
        <v>22</v>
      </c>
      <c r="E375" s="6" t="str" cm="1">
        <f t="array" ref="E375">_xlfn.IFS(D375&lt;=5,"Newcomer",AND(D375&gt;=6,D375&lt;=10),"Proficient",D375&gt;=10,"Expert")</f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1"/>
        <v>Voluntary</v>
      </c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10"/>
        <v>18</v>
      </c>
      <c r="E376" s="6" t="str" cm="1">
        <f t="array" ref="E376">_xlfn.IFS(D376&lt;=5,"Newcomer",AND(D376&gt;=6,D376&lt;=10),"Proficient",D376&gt;=10,"Expert")</f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1"/>
        <v>Voluntary</v>
      </c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10"/>
        <v>25</v>
      </c>
      <c r="E377" s="6" t="str" cm="1">
        <f t="array" ref="E377">_xlfn.IFS(D377&lt;=5,"Newcomer",AND(D377&gt;=6,D377&lt;=10),"Proficient",D377&gt;=10,"Expert")</f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1"/>
        <v>Voluntary</v>
      </c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10"/>
        <v>8</v>
      </c>
      <c r="E378" s="6" t="str" cm="1">
        <f t="array" ref="E378">_xlfn.IFS(D378&lt;=5,"Newcomer",AND(D378&gt;=6,D378&lt;=10),"Proficient",D378&gt;=10,"Expert")</f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1"/>
        <v>Voluntary</v>
      </c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10"/>
        <v>24</v>
      </c>
      <c r="E379" s="6" t="str" cm="1">
        <f t="array" ref="E379">_xlfn.IFS(D379&lt;=5,"Newcomer",AND(D379&gt;=6,D379&lt;=10),"Proficient",D379&gt;=10,"Expert")</f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1"/>
        <v>Involuntary</v>
      </c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10"/>
        <v>9</v>
      </c>
      <c r="E380" s="6" t="str" cm="1">
        <f t="array" ref="E380">_xlfn.IFS(D380&lt;=5,"Newcomer",AND(D380&gt;=6,D380&lt;=10),"Proficient",D380&gt;=10,"Expert")</f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1"/>
        <v>Voluntary</v>
      </c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10"/>
        <v>14</v>
      </c>
      <c r="E381" s="6" t="str" cm="1">
        <f t="array" ref="E381">_xlfn.IFS(D381&lt;=5,"Newcomer",AND(D381&gt;=6,D381&lt;=10),"Proficient",D381&gt;=10,"Expert")</f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1"/>
        <v>Voluntary</v>
      </c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10"/>
        <v>24</v>
      </c>
      <c r="E382" s="6" t="str" cm="1">
        <f t="array" ref="E382">_xlfn.IFS(D382&lt;=5,"Newcomer",AND(D382&gt;=6,D382&lt;=10),"Proficient",D382&gt;=10,"Expert")</f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1"/>
        <v>Voluntary</v>
      </c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10"/>
        <v>17</v>
      </c>
      <c r="E383" s="6" t="str" cm="1">
        <f t="array" ref="E383">_xlfn.IFS(D383&lt;=5,"Newcomer",AND(D383&gt;=6,D383&lt;=10),"Proficient",D383&gt;=10,"Expert")</f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1"/>
        <v>Voluntary</v>
      </c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10"/>
        <v>18</v>
      </c>
      <c r="E384" s="6" t="str" cm="1">
        <f t="array" ref="E384">_xlfn.IFS(D384&lt;=5,"Newcomer",AND(D384&gt;=6,D384&lt;=10),"Proficient",D384&gt;=10,"Expert")</f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1"/>
        <v>Voluntary</v>
      </c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10"/>
        <v>28</v>
      </c>
      <c r="E385" s="6" t="str" cm="1">
        <f t="array" ref="E385">_xlfn.IFS(D385&lt;=5,"Newcomer",AND(D385&gt;=6,D385&lt;=10),"Proficient",D385&gt;=10,"Expert")</f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1"/>
        <v>Voluntary</v>
      </c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10"/>
        <v>14</v>
      </c>
      <c r="E386" s="6" t="str" cm="1">
        <f t="array" ref="E386">_xlfn.IFS(D386&lt;=5,"Newcomer",AND(D386&gt;=6,D386&lt;=10),"Proficient",D386&gt;=10,"Expert")</f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1"/>
        <v>Voluntary</v>
      </c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12">YEAR(C387)-YEAR(B387)</f>
        <v>26</v>
      </c>
      <c r="E387" s="6" t="str" cm="1">
        <f t="array" ref="E387">_xlfn.IFS(D387&lt;=5,"Newcomer",AND(D387&gt;=6,D387&lt;=10),"Proficient",D387&gt;=10,"Expert")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ref="M387:M450" si="13">IF(OR(L387="Retirement",L387="Resignation"),"Voluntary","Involuntary")</f>
        <v>Voluntary</v>
      </c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12"/>
        <v>29</v>
      </c>
      <c r="E388" s="6" t="str" cm="1">
        <f t="array" ref="E388">_xlfn.IFS(D388&lt;=5,"Newcomer",AND(D388&gt;=6,D388&lt;=10),"Proficient",D388&gt;=10,"Expert")</f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13"/>
        <v>Voluntary</v>
      </c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12"/>
        <v>22</v>
      </c>
      <c r="E389" s="6" t="str" cm="1">
        <f t="array" ref="E389">_xlfn.IFS(D389&lt;=5,"Newcomer",AND(D389&gt;=6,D389&lt;=10),"Proficient",D389&gt;=10,"Expert")</f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13"/>
        <v>Voluntary</v>
      </c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12"/>
        <v>17</v>
      </c>
      <c r="E390" s="6" t="str" cm="1">
        <f t="array" ref="E390">_xlfn.IFS(D390&lt;=5,"Newcomer",AND(D390&gt;=6,D390&lt;=10),"Proficient",D390&gt;=10,"Expert")</f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13"/>
        <v>Voluntary</v>
      </c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12"/>
        <v>9</v>
      </c>
      <c r="E391" s="6" t="str" cm="1">
        <f t="array" ref="E391">_xlfn.IFS(D391&lt;=5,"Newcomer",AND(D391&gt;=6,D391&lt;=10),"Proficient",D391&gt;=10,"Expert")</f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13"/>
        <v>Voluntary</v>
      </c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12"/>
        <v>28</v>
      </c>
      <c r="E392" s="6" t="str" cm="1">
        <f t="array" ref="E392">_xlfn.IFS(D392&lt;=5,"Newcomer",AND(D392&gt;=6,D392&lt;=10),"Proficient",D392&gt;=10,"Expert")</f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13"/>
        <v>Voluntary</v>
      </c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12"/>
        <v>18</v>
      </c>
      <c r="E393" s="6" t="str" cm="1">
        <f t="array" ref="E393">_xlfn.IFS(D393&lt;=5,"Newcomer",AND(D393&gt;=6,D393&lt;=10),"Proficient",D393&gt;=10,"Expert")</f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13"/>
        <v>Voluntary</v>
      </c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12"/>
        <v>21</v>
      </c>
      <c r="E394" s="6" t="str" cm="1">
        <f t="array" ref="E394">_xlfn.IFS(D394&lt;=5,"Newcomer",AND(D394&gt;=6,D394&lt;=10),"Proficient",D394&gt;=10,"Expert")</f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13"/>
        <v>Voluntary</v>
      </c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12"/>
        <v>5</v>
      </c>
      <c r="E395" s="6" t="str" cm="1">
        <f t="array" ref="E395">_xlfn.IFS(D395&lt;=5,"Newcomer",AND(D395&gt;=6,D395&lt;=10),"Proficient",D395&gt;=10,"Expert")</f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13"/>
        <v>Voluntary</v>
      </c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12"/>
        <v>26</v>
      </c>
      <c r="E396" s="6" t="str" cm="1">
        <f t="array" ref="E396">_xlfn.IFS(D396&lt;=5,"Newcomer",AND(D396&gt;=6,D396&lt;=10),"Proficient",D396&gt;=10,"Expert")</f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13"/>
        <v>Voluntary</v>
      </c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12"/>
        <v>27</v>
      </c>
      <c r="E397" s="6" t="str" cm="1">
        <f t="array" ref="E397">_xlfn.IFS(D397&lt;=5,"Newcomer",AND(D397&gt;=6,D397&lt;=10),"Proficient",D397&gt;=10,"Expert")</f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13"/>
        <v>Voluntary</v>
      </c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12"/>
        <v>9</v>
      </c>
      <c r="E398" s="6" t="str" cm="1">
        <f t="array" ref="E398">_xlfn.IFS(D398&lt;=5,"Newcomer",AND(D398&gt;=6,D398&lt;=10),"Proficient",D398&gt;=10,"Expert")</f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13"/>
        <v>Voluntary</v>
      </c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12"/>
        <v>12</v>
      </c>
      <c r="E399" s="6" t="str" cm="1">
        <f t="array" ref="E399">_xlfn.IFS(D399&lt;=5,"Newcomer",AND(D399&gt;=6,D399&lt;=10),"Proficient",D399&gt;=10,"Expert")</f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13"/>
        <v>Voluntary</v>
      </c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12"/>
        <v>18</v>
      </c>
      <c r="E400" s="6" t="str" cm="1">
        <f t="array" ref="E400">_xlfn.IFS(D400&lt;=5,"Newcomer",AND(D400&gt;=6,D400&lt;=10),"Proficient",D400&gt;=10,"Expert")</f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13"/>
        <v>Voluntary</v>
      </c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12"/>
        <v>23</v>
      </c>
      <c r="E401" s="6" t="str" cm="1">
        <f t="array" ref="E401">_xlfn.IFS(D401&lt;=5,"Newcomer",AND(D401&gt;=6,D401&lt;=10),"Proficient",D401&gt;=10,"Expert")</f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13"/>
        <v>Voluntary</v>
      </c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12"/>
        <v>18</v>
      </c>
      <c r="E402" s="6" t="str" cm="1">
        <f t="array" ref="E402">_xlfn.IFS(D402&lt;=5,"Newcomer",AND(D402&gt;=6,D402&lt;=10),"Proficient",D402&gt;=10,"Expert")</f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13"/>
        <v>Involuntary</v>
      </c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12"/>
        <v>13</v>
      </c>
      <c r="E403" s="6" t="str" cm="1">
        <f t="array" ref="E403">_xlfn.IFS(D403&lt;=5,"Newcomer",AND(D403&gt;=6,D403&lt;=10),"Proficient",D403&gt;=10,"Expert")</f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13"/>
        <v>Voluntary</v>
      </c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12"/>
        <v>10</v>
      </c>
      <c r="E404" s="6" t="str" cm="1">
        <f t="array" ref="E404">_xlfn.IFS(D404&lt;=5,"Newcomer",AND(D404&gt;=6,D404&lt;=10),"Proficient",D404&gt;=10,"Expert")</f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13"/>
        <v>Voluntary</v>
      </c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12"/>
        <v>10</v>
      </c>
      <c r="E405" s="6" t="str" cm="1">
        <f t="array" ref="E405">_xlfn.IFS(D405&lt;=5,"Newcomer",AND(D405&gt;=6,D405&lt;=10),"Proficient",D405&gt;=10,"Expert")</f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13"/>
        <v>Voluntary</v>
      </c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12"/>
        <v>12</v>
      </c>
      <c r="E406" s="6" t="str" cm="1">
        <f t="array" ref="E406">_xlfn.IFS(D406&lt;=5,"Newcomer",AND(D406&gt;=6,D406&lt;=10),"Proficient",D406&gt;=10,"Expert")</f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13"/>
        <v>Voluntary</v>
      </c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12"/>
        <v>15</v>
      </c>
      <c r="E407" s="6" t="str" cm="1">
        <f t="array" ref="E407">_xlfn.IFS(D407&lt;=5,"Newcomer",AND(D407&gt;=6,D407&lt;=10),"Proficient",D407&gt;=10,"Expert")</f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13"/>
        <v>Voluntary</v>
      </c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12"/>
        <v>19</v>
      </c>
      <c r="E408" s="6" t="str" cm="1">
        <f t="array" ref="E408">_xlfn.IFS(D408&lt;=5,"Newcomer",AND(D408&gt;=6,D408&lt;=10),"Proficient",D408&gt;=10,"Expert")</f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13"/>
        <v>Voluntary</v>
      </c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12"/>
        <v>24</v>
      </c>
      <c r="E409" s="6" t="str" cm="1">
        <f t="array" ref="E409">_xlfn.IFS(D409&lt;=5,"Newcomer",AND(D409&gt;=6,D409&lt;=10),"Proficient",D409&gt;=10,"Expert")</f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13"/>
        <v>Involuntary</v>
      </c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12"/>
        <v>20</v>
      </c>
      <c r="E410" s="6" t="str" cm="1">
        <f t="array" ref="E410">_xlfn.IFS(D410&lt;=5,"Newcomer",AND(D410&gt;=6,D410&lt;=10),"Proficient",D410&gt;=10,"Expert")</f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13"/>
        <v>Voluntary</v>
      </c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12"/>
        <v>16</v>
      </c>
      <c r="E411" s="6" t="str" cm="1">
        <f t="array" ref="E411">_xlfn.IFS(D411&lt;=5,"Newcomer",AND(D411&gt;=6,D411&lt;=10),"Proficient",D411&gt;=10,"Expert")</f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13"/>
        <v>Voluntary</v>
      </c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12"/>
        <v>19</v>
      </c>
      <c r="E412" s="6" t="str" cm="1">
        <f t="array" ref="E412">_xlfn.IFS(D412&lt;=5,"Newcomer",AND(D412&gt;=6,D412&lt;=10),"Proficient",D412&gt;=10,"Expert")</f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13"/>
        <v>Voluntary</v>
      </c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12"/>
        <v>7</v>
      </c>
      <c r="E413" s="6" t="str" cm="1">
        <f t="array" ref="E413">_xlfn.IFS(D413&lt;=5,"Newcomer",AND(D413&gt;=6,D413&lt;=10),"Proficient",D413&gt;=10,"Expert")</f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13"/>
        <v>Voluntary</v>
      </c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12"/>
        <v>27</v>
      </c>
      <c r="E414" s="6" t="str" cm="1">
        <f t="array" ref="E414">_xlfn.IFS(D414&lt;=5,"Newcomer",AND(D414&gt;=6,D414&lt;=10),"Proficient",D414&gt;=10,"Expert")</f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13"/>
        <v>Voluntary</v>
      </c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12"/>
        <v>23</v>
      </c>
      <c r="E415" s="6" t="str" cm="1">
        <f t="array" ref="E415">_xlfn.IFS(D415&lt;=5,"Newcomer",AND(D415&gt;=6,D415&lt;=10),"Proficient",D415&gt;=10,"Expert")</f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13"/>
        <v>Involuntary</v>
      </c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12"/>
        <v>17</v>
      </c>
      <c r="E416" s="6" t="str" cm="1">
        <f t="array" ref="E416">_xlfn.IFS(D416&lt;=5,"Newcomer",AND(D416&gt;=6,D416&lt;=10),"Proficient",D416&gt;=10,"Expert")</f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13"/>
        <v>Voluntary</v>
      </c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12"/>
        <v>19</v>
      </c>
      <c r="E417" s="6" t="str" cm="1">
        <f t="array" ref="E417">_xlfn.IFS(D417&lt;=5,"Newcomer",AND(D417&gt;=6,D417&lt;=10),"Proficient",D417&gt;=10,"Expert")</f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13"/>
        <v>Voluntary</v>
      </c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12"/>
        <v>13</v>
      </c>
      <c r="E418" s="6" t="str" cm="1">
        <f t="array" ref="E418">_xlfn.IFS(D418&lt;=5,"Newcomer",AND(D418&gt;=6,D418&lt;=10),"Proficient",D418&gt;=10,"Expert")</f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13"/>
        <v>Voluntary</v>
      </c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12"/>
        <v>25</v>
      </c>
      <c r="E419" s="6" t="str" cm="1">
        <f t="array" ref="E419">_xlfn.IFS(D419&lt;=5,"Newcomer",AND(D419&gt;=6,D419&lt;=10),"Proficient",D419&gt;=10,"Expert")</f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13"/>
        <v>Voluntary</v>
      </c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12"/>
        <v>29</v>
      </c>
      <c r="E420" s="6" t="str" cm="1">
        <f t="array" ref="E420">_xlfn.IFS(D420&lt;=5,"Newcomer",AND(D420&gt;=6,D420&lt;=10),"Proficient",D420&gt;=10,"Expert")</f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13"/>
        <v>Voluntary</v>
      </c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12"/>
        <v>24</v>
      </c>
      <c r="E421" s="6" t="str" cm="1">
        <f t="array" ref="E421">_xlfn.IFS(D421&lt;=5,"Newcomer",AND(D421&gt;=6,D421&lt;=10),"Proficient",D421&gt;=10,"Expert")</f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13"/>
        <v>Voluntary</v>
      </c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12"/>
        <v>24</v>
      </c>
      <c r="E422" s="6" t="str" cm="1">
        <f t="array" ref="E422">_xlfn.IFS(D422&lt;=5,"Newcomer",AND(D422&gt;=6,D422&lt;=10),"Proficient",D422&gt;=10,"Expert")</f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13"/>
        <v>Voluntary</v>
      </c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12"/>
        <v>20</v>
      </c>
      <c r="E423" s="6" t="str" cm="1">
        <f t="array" ref="E423">_xlfn.IFS(D423&lt;=5,"Newcomer",AND(D423&gt;=6,D423&lt;=10),"Proficient",D423&gt;=10,"Expert")</f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13"/>
        <v>Involuntary</v>
      </c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12"/>
        <v>19</v>
      </c>
      <c r="E424" s="6" t="str" cm="1">
        <f t="array" ref="E424">_xlfn.IFS(D424&lt;=5,"Newcomer",AND(D424&gt;=6,D424&lt;=10),"Proficient",D424&gt;=10,"Expert")</f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13"/>
        <v>Involuntary</v>
      </c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12"/>
        <v>7</v>
      </c>
      <c r="E425" s="6" t="str" cm="1">
        <f t="array" ref="E425">_xlfn.IFS(D425&lt;=5,"Newcomer",AND(D425&gt;=6,D425&lt;=10),"Proficient",D425&gt;=10,"Expert")</f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13"/>
        <v>Involuntary</v>
      </c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12"/>
        <v>26</v>
      </c>
      <c r="E426" s="6" t="str" cm="1">
        <f t="array" ref="E426">_xlfn.IFS(D426&lt;=5,"Newcomer",AND(D426&gt;=6,D426&lt;=10),"Proficient",D426&gt;=10,"Expert")</f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13"/>
        <v>Involuntary</v>
      </c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12"/>
        <v>6</v>
      </c>
      <c r="E427" s="6" t="str" cm="1">
        <f t="array" ref="E427">_xlfn.IFS(D427&lt;=5,"Newcomer",AND(D427&gt;=6,D427&lt;=10),"Proficient",D427&gt;=10,"Expert")</f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13"/>
        <v>Involuntary</v>
      </c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12"/>
        <v>20</v>
      </c>
      <c r="E428" s="6" t="str" cm="1">
        <f t="array" ref="E428">_xlfn.IFS(D428&lt;=5,"Newcomer",AND(D428&gt;=6,D428&lt;=10),"Proficient",D428&gt;=10,"Expert")</f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13"/>
        <v>Involuntary</v>
      </c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12"/>
        <v>26</v>
      </c>
      <c r="E429" s="6" t="str" cm="1">
        <f t="array" ref="E429">_xlfn.IFS(D429&lt;=5,"Newcomer",AND(D429&gt;=6,D429&lt;=10),"Proficient",D429&gt;=10,"Expert")</f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13"/>
        <v>Involuntary</v>
      </c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12"/>
        <v>24</v>
      </c>
      <c r="E430" s="6" t="str" cm="1">
        <f t="array" ref="E430">_xlfn.IFS(D430&lt;=5,"Newcomer",AND(D430&gt;=6,D430&lt;=10),"Proficient",D430&gt;=10,"Expert")</f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13"/>
        <v>Involuntary</v>
      </c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12"/>
        <v>9</v>
      </c>
      <c r="E431" s="6" t="str" cm="1">
        <f t="array" ref="E431">_xlfn.IFS(D431&lt;=5,"Newcomer",AND(D431&gt;=6,D431&lt;=10),"Proficient",D431&gt;=10,"Expert")</f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13"/>
        <v>Involuntary</v>
      </c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12"/>
        <v>14</v>
      </c>
      <c r="E432" s="6" t="str" cm="1">
        <f t="array" ref="E432">_xlfn.IFS(D432&lt;=5,"Newcomer",AND(D432&gt;=6,D432&lt;=10),"Proficient",D432&gt;=10,"Expert")</f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13"/>
        <v>Involuntary</v>
      </c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12"/>
        <v>27</v>
      </c>
      <c r="E433" s="6" t="str" cm="1">
        <f t="array" ref="E433">_xlfn.IFS(D433&lt;=5,"Newcomer",AND(D433&gt;=6,D433&lt;=10),"Proficient",D433&gt;=10,"Expert")</f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13"/>
        <v>Involuntary</v>
      </c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12"/>
        <v>25</v>
      </c>
      <c r="E434" s="6" t="str" cm="1">
        <f t="array" ref="E434">_xlfn.IFS(D434&lt;=5,"Newcomer",AND(D434&gt;=6,D434&lt;=10),"Proficient",D434&gt;=10,"Expert")</f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13"/>
        <v>Involuntary</v>
      </c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12"/>
        <v>6</v>
      </c>
      <c r="E435" s="6" t="str" cm="1">
        <f t="array" ref="E435">_xlfn.IFS(D435&lt;=5,"Newcomer",AND(D435&gt;=6,D435&lt;=10),"Proficient",D435&gt;=10,"Expert")</f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13"/>
        <v>Involuntary</v>
      </c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12"/>
        <v>24</v>
      </c>
      <c r="E436" s="6" t="str" cm="1">
        <f t="array" ref="E436">_xlfn.IFS(D436&lt;=5,"Newcomer",AND(D436&gt;=6,D436&lt;=10),"Proficient",D436&gt;=10,"Expert")</f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13"/>
        <v>Involuntary</v>
      </c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12"/>
        <v>15</v>
      </c>
      <c r="E437" s="6" t="str" cm="1">
        <f t="array" ref="E437">_xlfn.IFS(D437&lt;=5,"Newcomer",AND(D437&gt;=6,D437&lt;=10),"Proficient",D437&gt;=10,"Expert")</f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13"/>
        <v>Involuntary</v>
      </c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12"/>
        <v>15</v>
      </c>
      <c r="E438" s="6" t="str" cm="1">
        <f t="array" ref="E438">_xlfn.IFS(D438&lt;=5,"Newcomer",AND(D438&gt;=6,D438&lt;=10),"Proficient",D438&gt;=10,"Expert")</f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13"/>
        <v>Voluntary</v>
      </c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12"/>
        <v>6</v>
      </c>
      <c r="E439" s="6" t="str" cm="1">
        <f t="array" ref="E439">_xlfn.IFS(D439&lt;=5,"Newcomer",AND(D439&gt;=6,D439&lt;=10),"Proficient",D439&gt;=10,"Expert")</f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13"/>
        <v>Voluntary</v>
      </c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12"/>
        <v>22</v>
      </c>
      <c r="E440" s="6" t="str" cm="1">
        <f t="array" ref="E440">_xlfn.IFS(D440&lt;=5,"Newcomer",AND(D440&gt;=6,D440&lt;=10),"Proficient",D440&gt;=10,"Expert")</f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13"/>
        <v>Voluntary</v>
      </c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12"/>
        <v>24</v>
      </c>
      <c r="E441" s="6" t="str" cm="1">
        <f t="array" ref="E441">_xlfn.IFS(D441&lt;=5,"Newcomer",AND(D441&gt;=6,D441&lt;=10),"Proficient",D441&gt;=10,"Expert")</f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13"/>
        <v>Voluntary</v>
      </c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12"/>
        <v>23</v>
      </c>
      <c r="E442" s="6" t="str" cm="1">
        <f t="array" ref="E442">_xlfn.IFS(D442&lt;=5,"Newcomer",AND(D442&gt;=6,D442&lt;=10),"Proficient",D442&gt;=10,"Expert")</f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13"/>
        <v>Voluntary</v>
      </c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12"/>
        <v>24</v>
      </c>
      <c r="E443" s="6" t="str" cm="1">
        <f t="array" ref="E443">_xlfn.IFS(D443&lt;=5,"Newcomer",AND(D443&gt;=6,D443&lt;=10),"Proficient",D443&gt;=10,"Expert")</f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13"/>
        <v>Voluntary</v>
      </c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12"/>
        <v>9</v>
      </c>
      <c r="E444" s="6" t="str" cm="1">
        <f t="array" ref="E444">_xlfn.IFS(D444&lt;=5,"Newcomer",AND(D444&gt;=6,D444&lt;=10),"Proficient",D444&gt;=10,"Expert")</f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13"/>
        <v>Voluntary</v>
      </c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12"/>
        <v>29</v>
      </c>
      <c r="E445" s="6" t="str" cm="1">
        <f t="array" ref="E445">_xlfn.IFS(D445&lt;=5,"Newcomer",AND(D445&gt;=6,D445&lt;=10),"Proficient",D445&gt;=10,"Expert")</f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13"/>
        <v>Voluntary</v>
      </c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12"/>
        <v>21</v>
      </c>
      <c r="E446" s="6" t="str" cm="1">
        <f t="array" ref="E446">_xlfn.IFS(D446&lt;=5,"Newcomer",AND(D446&gt;=6,D446&lt;=10),"Proficient",D446&gt;=10,"Expert")</f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13"/>
        <v>Voluntary</v>
      </c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12"/>
        <v>7</v>
      </c>
      <c r="E447" s="6" t="str" cm="1">
        <f t="array" ref="E447">_xlfn.IFS(D447&lt;=5,"Newcomer",AND(D447&gt;=6,D447&lt;=10),"Proficient",D447&gt;=10,"Expert")</f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13"/>
        <v>Voluntary</v>
      </c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12"/>
        <v>27</v>
      </c>
      <c r="E448" s="6" t="str" cm="1">
        <f t="array" ref="E448">_xlfn.IFS(D448&lt;=5,"Newcomer",AND(D448&gt;=6,D448&lt;=10),"Proficient",D448&gt;=10,"Expert")</f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13"/>
        <v>Voluntary</v>
      </c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12"/>
        <v>12</v>
      </c>
      <c r="E449" s="6" t="str" cm="1">
        <f t="array" ref="E449">_xlfn.IFS(D449&lt;=5,"Newcomer",AND(D449&gt;=6,D449&lt;=10),"Proficient",D449&gt;=10,"Expert")</f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13"/>
        <v>Voluntary</v>
      </c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12"/>
        <v>29</v>
      </c>
      <c r="E450" s="6" t="str" cm="1">
        <f t="array" ref="E450">_xlfn.IFS(D450&lt;=5,"Newcomer",AND(D450&gt;=6,D450&lt;=10),"Proficient",D450&gt;=10,"Expert")</f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13"/>
        <v>Involuntary</v>
      </c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14">YEAR(C451)-YEAR(B451)</f>
        <v>11</v>
      </c>
      <c r="E451" s="6" t="str" cm="1">
        <f t="array" ref="E451">_xlfn.IFS(D451&lt;=5,"Newcomer",AND(D451&gt;=6,D451&lt;=10),"Proficient",D451&gt;=10,"Expert")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ref="M451:M514" si="15">IF(OR(L451="Retirement",L451="Resignation"),"Voluntary","Involuntary")</f>
        <v>Voluntary</v>
      </c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14"/>
        <v>29</v>
      </c>
      <c r="E452" s="6" t="str" cm="1">
        <f t="array" ref="E452">_xlfn.IFS(D452&lt;=5,"Newcomer",AND(D452&gt;=6,D452&lt;=10),"Proficient",D452&gt;=10,"Expert")</f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15"/>
        <v>Voluntary</v>
      </c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14"/>
        <v>8</v>
      </c>
      <c r="E453" s="6" t="str" cm="1">
        <f t="array" ref="E453">_xlfn.IFS(D453&lt;=5,"Newcomer",AND(D453&gt;=6,D453&lt;=10),"Proficient",D453&gt;=10,"Expert")</f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15"/>
        <v>Voluntary</v>
      </c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14"/>
        <v>17</v>
      </c>
      <c r="E454" s="6" t="str" cm="1">
        <f t="array" ref="E454">_xlfn.IFS(D454&lt;=5,"Newcomer",AND(D454&gt;=6,D454&lt;=10),"Proficient",D454&gt;=10,"Expert")</f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15"/>
        <v>Voluntary</v>
      </c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14"/>
        <v>23</v>
      </c>
      <c r="E455" s="6" t="str" cm="1">
        <f t="array" ref="E455">_xlfn.IFS(D455&lt;=5,"Newcomer",AND(D455&gt;=6,D455&lt;=10),"Proficient",D455&gt;=10,"Expert")</f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15"/>
        <v>Voluntary</v>
      </c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14"/>
        <v>19</v>
      </c>
      <c r="E456" s="6" t="str" cm="1">
        <f t="array" ref="E456">_xlfn.IFS(D456&lt;=5,"Newcomer",AND(D456&gt;=6,D456&lt;=10),"Proficient",D456&gt;=10,"Expert")</f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15"/>
        <v>Voluntary</v>
      </c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14"/>
        <v>19</v>
      </c>
      <c r="E457" s="6" t="str" cm="1">
        <f t="array" ref="E457">_xlfn.IFS(D457&lt;=5,"Newcomer",AND(D457&gt;=6,D457&lt;=10),"Proficient",D457&gt;=10,"Expert")</f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15"/>
        <v>Voluntary</v>
      </c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14"/>
        <v>22</v>
      </c>
      <c r="E458" s="6" t="str" cm="1">
        <f t="array" ref="E458">_xlfn.IFS(D458&lt;=5,"Newcomer",AND(D458&gt;=6,D458&lt;=10),"Proficient",D458&gt;=10,"Expert")</f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15"/>
        <v>Voluntary</v>
      </c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14"/>
        <v>15</v>
      </c>
      <c r="E459" s="6" t="str" cm="1">
        <f t="array" ref="E459">_xlfn.IFS(D459&lt;=5,"Newcomer",AND(D459&gt;=6,D459&lt;=10),"Proficient",D459&gt;=10,"Expert")</f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15"/>
        <v>Voluntary</v>
      </c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14"/>
        <v>30</v>
      </c>
      <c r="E460" s="6" t="str" cm="1">
        <f t="array" ref="E460">_xlfn.IFS(D460&lt;=5,"Newcomer",AND(D460&gt;=6,D460&lt;=10),"Proficient",D460&gt;=10,"Expert")</f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15"/>
        <v>Voluntary</v>
      </c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14"/>
        <v>14</v>
      </c>
      <c r="E461" s="6" t="str" cm="1">
        <f t="array" ref="E461">_xlfn.IFS(D461&lt;=5,"Newcomer",AND(D461&gt;=6,D461&lt;=10),"Proficient",D461&gt;=10,"Expert")</f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15"/>
        <v>Voluntary</v>
      </c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14"/>
        <v>6</v>
      </c>
      <c r="E462" s="6" t="str" cm="1">
        <f t="array" ref="E462">_xlfn.IFS(D462&lt;=5,"Newcomer",AND(D462&gt;=6,D462&lt;=10),"Proficient",D462&gt;=10,"Expert")</f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15"/>
        <v>Voluntary</v>
      </c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14"/>
        <v>20</v>
      </c>
      <c r="E463" s="6" t="str" cm="1">
        <f t="array" ref="E463">_xlfn.IFS(D463&lt;=5,"Newcomer",AND(D463&gt;=6,D463&lt;=10),"Proficient",D463&gt;=10,"Expert")</f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15"/>
        <v>Voluntary</v>
      </c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14"/>
        <v>25</v>
      </c>
      <c r="E464" s="6" t="str" cm="1">
        <f t="array" ref="E464">_xlfn.IFS(D464&lt;=5,"Newcomer",AND(D464&gt;=6,D464&lt;=10),"Proficient",D464&gt;=10,"Expert")</f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15"/>
        <v>Voluntary</v>
      </c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14"/>
        <v>10</v>
      </c>
      <c r="E465" s="6" t="str" cm="1">
        <f t="array" ref="E465">_xlfn.IFS(D465&lt;=5,"Newcomer",AND(D465&gt;=6,D465&lt;=10),"Proficient",D465&gt;=10,"Expert")</f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15"/>
        <v>Voluntary</v>
      </c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14"/>
        <v>12</v>
      </c>
      <c r="E466" s="6" t="str" cm="1">
        <f t="array" ref="E466">_xlfn.IFS(D466&lt;=5,"Newcomer",AND(D466&gt;=6,D466&lt;=10),"Proficient",D466&gt;=10,"Expert")</f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15"/>
        <v>Voluntary</v>
      </c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14"/>
        <v>29</v>
      </c>
      <c r="E467" s="6" t="str" cm="1">
        <f t="array" ref="E467">_xlfn.IFS(D467&lt;=5,"Newcomer",AND(D467&gt;=6,D467&lt;=10),"Proficient",D467&gt;=10,"Expert")</f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15"/>
        <v>Involuntary</v>
      </c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14"/>
        <v>6</v>
      </c>
      <c r="E468" s="6" t="str" cm="1">
        <f t="array" ref="E468">_xlfn.IFS(D468&lt;=5,"Newcomer",AND(D468&gt;=6,D468&lt;=10),"Proficient",D468&gt;=10,"Expert")</f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15"/>
        <v>Voluntary</v>
      </c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14"/>
        <v>27</v>
      </c>
      <c r="E469" s="6" t="str" cm="1">
        <f t="array" ref="E469">_xlfn.IFS(D469&lt;=5,"Newcomer",AND(D469&gt;=6,D469&lt;=10),"Proficient",D469&gt;=10,"Expert")</f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15"/>
        <v>Voluntary</v>
      </c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14"/>
        <v>19</v>
      </c>
      <c r="E470" s="6" t="str" cm="1">
        <f t="array" ref="E470">_xlfn.IFS(D470&lt;=5,"Newcomer",AND(D470&gt;=6,D470&lt;=10),"Proficient",D470&gt;=10,"Expert")</f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15"/>
        <v>Voluntary</v>
      </c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14"/>
        <v>15</v>
      </c>
      <c r="E471" s="6" t="str" cm="1">
        <f t="array" ref="E471">_xlfn.IFS(D471&lt;=5,"Newcomer",AND(D471&gt;=6,D471&lt;=10),"Proficient",D471&gt;=10,"Expert")</f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15"/>
        <v>Voluntary</v>
      </c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14"/>
        <v>26</v>
      </c>
      <c r="E472" s="6" t="str" cm="1">
        <f t="array" ref="E472">_xlfn.IFS(D472&lt;=5,"Newcomer",AND(D472&gt;=6,D472&lt;=10),"Proficient",D472&gt;=10,"Expert")</f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15"/>
        <v>Voluntary</v>
      </c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14"/>
        <v>7</v>
      </c>
      <c r="E473" s="6" t="str" cm="1">
        <f t="array" ref="E473">_xlfn.IFS(D473&lt;=5,"Newcomer",AND(D473&gt;=6,D473&lt;=10),"Proficient",D473&gt;=10,"Expert")</f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15"/>
        <v>Voluntary</v>
      </c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14"/>
        <v>10</v>
      </c>
      <c r="E474" s="6" t="str" cm="1">
        <f t="array" ref="E474">_xlfn.IFS(D474&lt;=5,"Newcomer",AND(D474&gt;=6,D474&lt;=10),"Proficient",D474&gt;=10,"Expert")</f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15"/>
        <v>Involuntary</v>
      </c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14"/>
        <v>10</v>
      </c>
      <c r="E475" s="6" t="str" cm="1">
        <f t="array" ref="E475">_xlfn.IFS(D475&lt;=5,"Newcomer",AND(D475&gt;=6,D475&lt;=10),"Proficient",D475&gt;=10,"Expert")</f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15"/>
        <v>Voluntary</v>
      </c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14"/>
        <v>18</v>
      </c>
      <c r="E476" s="6" t="str" cm="1">
        <f t="array" ref="E476">_xlfn.IFS(D476&lt;=5,"Newcomer",AND(D476&gt;=6,D476&lt;=10),"Proficient",D476&gt;=10,"Expert")</f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15"/>
        <v>Involuntary</v>
      </c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14"/>
        <v>13</v>
      </c>
      <c r="E477" s="6" t="str" cm="1">
        <f t="array" ref="E477">_xlfn.IFS(D477&lt;=5,"Newcomer",AND(D477&gt;=6,D477&lt;=10),"Proficient",D477&gt;=10,"Expert")</f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15"/>
        <v>Involuntary</v>
      </c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14"/>
        <v>6</v>
      </c>
      <c r="E478" s="6" t="str" cm="1">
        <f t="array" ref="E478">_xlfn.IFS(D478&lt;=5,"Newcomer",AND(D478&gt;=6,D478&lt;=10),"Proficient",D478&gt;=10,"Expert")</f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15"/>
        <v>Involuntary</v>
      </c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14"/>
        <v>23</v>
      </c>
      <c r="E479" s="6" t="str" cm="1">
        <f t="array" ref="E479">_xlfn.IFS(D479&lt;=5,"Newcomer",AND(D479&gt;=6,D479&lt;=10),"Proficient",D479&gt;=10,"Expert")</f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15"/>
        <v>Involuntary</v>
      </c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14"/>
        <v>8</v>
      </c>
      <c r="E480" s="6" t="str" cm="1">
        <f t="array" ref="E480">_xlfn.IFS(D480&lt;=5,"Newcomer",AND(D480&gt;=6,D480&lt;=10),"Proficient",D480&gt;=10,"Expert")</f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15"/>
        <v>Involuntary</v>
      </c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14"/>
        <v>21</v>
      </c>
      <c r="E481" s="6" t="str" cm="1">
        <f t="array" ref="E481">_xlfn.IFS(D481&lt;=5,"Newcomer",AND(D481&gt;=6,D481&lt;=10),"Proficient",D481&gt;=10,"Expert")</f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15"/>
        <v>Involuntary</v>
      </c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14"/>
        <v>9</v>
      </c>
      <c r="E482" s="6" t="str" cm="1">
        <f t="array" ref="E482">_xlfn.IFS(D482&lt;=5,"Newcomer",AND(D482&gt;=6,D482&lt;=10),"Proficient",D482&gt;=10,"Expert")</f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15"/>
        <v>Involuntary</v>
      </c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14"/>
        <v>19</v>
      </c>
      <c r="E483" s="6" t="str" cm="1">
        <f t="array" ref="E483">_xlfn.IFS(D483&lt;=5,"Newcomer",AND(D483&gt;=6,D483&lt;=10),"Proficient",D483&gt;=10,"Expert")</f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15"/>
        <v>Involuntary</v>
      </c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14"/>
        <v>18</v>
      </c>
      <c r="E484" s="6" t="str" cm="1">
        <f t="array" ref="E484">_xlfn.IFS(D484&lt;=5,"Newcomer",AND(D484&gt;=6,D484&lt;=10),"Proficient",D484&gt;=10,"Expert")</f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15"/>
        <v>Involuntary</v>
      </c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14"/>
        <v>27</v>
      </c>
      <c r="E485" s="6" t="str" cm="1">
        <f t="array" ref="E485">_xlfn.IFS(D485&lt;=5,"Newcomer",AND(D485&gt;=6,D485&lt;=10),"Proficient",D485&gt;=10,"Expert")</f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15"/>
        <v>Involuntary</v>
      </c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14"/>
        <v>7</v>
      </c>
      <c r="E486" s="6" t="str" cm="1">
        <f t="array" ref="E486">_xlfn.IFS(D486&lt;=5,"Newcomer",AND(D486&gt;=6,D486&lt;=10),"Proficient",D486&gt;=10,"Expert")</f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15"/>
        <v>Involuntary</v>
      </c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14"/>
        <v>20</v>
      </c>
      <c r="E487" s="6" t="str" cm="1">
        <f t="array" ref="E487">_xlfn.IFS(D487&lt;=5,"Newcomer",AND(D487&gt;=6,D487&lt;=10),"Proficient",D487&gt;=10,"Expert")</f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15"/>
        <v>Involuntary</v>
      </c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14"/>
        <v>11</v>
      </c>
      <c r="E488" s="6" t="str" cm="1">
        <f t="array" ref="E488">_xlfn.IFS(D488&lt;=5,"Newcomer",AND(D488&gt;=6,D488&lt;=10),"Proficient",D488&gt;=10,"Expert")</f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15"/>
        <v>Involuntary</v>
      </c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14"/>
        <v>8</v>
      </c>
      <c r="E489" s="6" t="str" cm="1">
        <f t="array" ref="E489">_xlfn.IFS(D489&lt;=5,"Newcomer",AND(D489&gt;=6,D489&lt;=10),"Proficient",D489&gt;=10,"Expert")</f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15"/>
        <v>Involuntary</v>
      </c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14"/>
        <v>16</v>
      </c>
      <c r="E490" s="6" t="str" cm="1">
        <f t="array" ref="E490">_xlfn.IFS(D490&lt;=5,"Newcomer",AND(D490&gt;=6,D490&lt;=10),"Proficient",D490&gt;=10,"Expert")</f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15"/>
        <v>Involuntary</v>
      </c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14"/>
        <v>6</v>
      </c>
      <c r="E491" s="6" t="str" cm="1">
        <f t="array" ref="E491">_xlfn.IFS(D491&lt;=5,"Newcomer",AND(D491&gt;=6,D491&lt;=10),"Proficient",D491&gt;=10,"Expert")</f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15"/>
        <v>Involuntary</v>
      </c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14"/>
        <v>19</v>
      </c>
      <c r="E492" s="6" t="str" cm="1">
        <f t="array" ref="E492">_xlfn.IFS(D492&lt;=5,"Newcomer",AND(D492&gt;=6,D492&lt;=10),"Proficient",D492&gt;=10,"Expert")</f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15"/>
        <v>Involuntary</v>
      </c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14"/>
        <v>24</v>
      </c>
      <c r="E493" s="6" t="str" cm="1">
        <f t="array" ref="E493">_xlfn.IFS(D493&lt;=5,"Newcomer",AND(D493&gt;=6,D493&lt;=10),"Proficient",D493&gt;=10,"Expert")</f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15"/>
        <v>Involuntary</v>
      </c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14"/>
        <v>15</v>
      </c>
      <c r="E494" s="6" t="str" cm="1">
        <f t="array" ref="E494">_xlfn.IFS(D494&lt;=5,"Newcomer",AND(D494&gt;=6,D494&lt;=10),"Proficient",D494&gt;=10,"Expert")</f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15"/>
        <v>Involuntary</v>
      </c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14"/>
        <v>19</v>
      </c>
      <c r="E495" s="6" t="str" cm="1">
        <f t="array" ref="E495">_xlfn.IFS(D495&lt;=5,"Newcomer",AND(D495&gt;=6,D495&lt;=10),"Proficient",D495&gt;=10,"Expert")</f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15"/>
        <v>Involuntary</v>
      </c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14"/>
        <v>8</v>
      </c>
      <c r="E496" s="6" t="str" cm="1">
        <f t="array" ref="E496">_xlfn.IFS(D496&lt;=5,"Newcomer",AND(D496&gt;=6,D496&lt;=10),"Proficient",D496&gt;=10,"Expert")</f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15"/>
        <v>Involuntary</v>
      </c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14"/>
        <v>5</v>
      </c>
      <c r="E497" s="6" t="str" cm="1">
        <f t="array" ref="E497">_xlfn.IFS(D497&lt;=5,"Newcomer",AND(D497&gt;=6,D497&lt;=10),"Proficient",D497&gt;=10,"Expert")</f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15"/>
        <v>Involuntary</v>
      </c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14"/>
        <v>16</v>
      </c>
      <c r="E498" s="6" t="str" cm="1">
        <f t="array" ref="E498">_xlfn.IFS(D498&lt;=5,"Newcomer",AND(D498&gt;=6,D498&lt;=10),"Proficient",D498&gt;=10,"Expert")</f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15"/>
        <v>Involuntary</v>
      </c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14"/>
        <v>21</v>
      </c>
      <c r="E499" s="6" t="str" cm="1">
        <f t="array" ref="E499">_xlfn.IFS(D499&lt;=5,"Newcomer",AND(D499&gt;=6,D499&lt;=10),"Proficient",D499&gt;=10,"Expert")</f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15"/>
        <v>Involuntary</v>
      </c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14"/>
        <v>6</v>
      </c>
      <c r="E500" s="6" t="str" cm="1">
        <f t="array" ref="E500">_xlfn.IFS(D500&lt;=5,"Newcomer",AND(D500&gt;=6,D500&lt;=10),"Proficient",D500&gt;=10,"Expert")</f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15"/>
        <v>Involuntary</v>
      </c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14"/>
        <v>12</v>
      </c>
      <c r="E501" s="6" t="str" cm="1">
        <f t="array" ref="E501">_xlfn.IFS(D501&lt;=5,"Newcomer",AND(D501&gt;=6,D501&lt;=10),"Proficient",D501&gt;=10,"Expert")</f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15"/>
        <v>Involuntary</v>
      </c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14"/>
        <v>11</v>
      </c>
      <c r="E502" s="6" t="str" cm="1">
        <f t="array" ref="E502">_xlfn.IFS(D502&lt;=5,"Newcomer",AND(D502&gt;=6,D502&lt;=10),"Proficient",D502&gt;=10,"Expert")</f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15"/>
        <v>Involuntary</v>
      </c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14"/>
        <v>25</v>
      </c>
      <c r="E503" s="6" t="str" cm="1">
        <f t="array" ref="E503">_xlfn.IFS(D503&lt;=5,"Newcomer",AND(D503&gt;=6,D503&lt;=10),"Proficient",D503&gt;=10,"Expert")</f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15"/>
        <v>Involuntary</v>
      </c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14"/>
        <v>18</v>
      </c>
      <c r="E504" s="6" t="str" cm="1">
        <f t="array" ref="E504">_xlfn.IFS(D504&lt;=5,"Newcomer",AND(D504&gt;=6,D504&lt;=10),"Proficient",D504&gt;=10,"Expert")</f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15"/>
        <v>Involuntary</v>
      </c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14"/>
        <v>13</v>
      </c>
      <c r="E505" s="6" t="str" cm="1">
        <f t="array" ref="E505">_xlfn.IFS(D505&lt;=5,"Newcomer",AND(D505&gt;=6,D505&lt;=10),"Proficient",D505&gt;=10,"Expert")</f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15"/>
        <v>Voluntary</v>
      </c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14"/>
        <v>16</v>
      </c>
      <c r="E506" s="6" t="str" cm="1">
        <f t="array" ref="E506">_xlfn.IFS(D506&lt;=5,"Newcomer",AND(D506&gt;=6,D506&lt;=10),"Proficient",D506&gt;=10,"Expert")</f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15"/>
        <v>Involuntary</v>
      </c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14"/>
        <v>5</v>
      </c>
      <c r="E507" s="6" t="str" cm="1">
        <f t="array" ref="E507">_xlfn.IFS(D507&lt;=5,"Newcomer",AND(D507&gt;=6,D507&lt;=10),"Proficient",D507&gt;=10,"Expert")</f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15"/>
        <v>Involuntary</v>
      </c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14"/>
        <v>13</v>
      </c>
      <c r="E508" s="6" t="str" cm="1">
        <f t="array" ref="E508">_xlfn.IFS(D508&lt;=5,"Newcomer",AND(D508&gt;=6,D508&lt;=10),"Proficient",D508&gt;=10,"Expert")</f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15"/>
        <v>Involuntary</v>
      </c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14"/>
        <v>10</v>
      </c>
      <c r="E509" s="6" t="str" cm="1">
        <f t="array" ref="E509">_xlfn.IFS(D509&lt;=5,"Newcomer",AND(D509&gt;=6,D509&lt;=10),"Proficient",D509&gt;=10,"Expert")</f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15"/>
        <v>Involuntary</v>
      </c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14"/>
        <v>27</v>
      </c>
      <c r="E510" s="6" t="str" cm="1">
        <f t="array" ref="E510">_xlfn.IFS(D510&lt;=5,"Newcomer",AND(D510&gt;=6,D510&lt;=10),"Proficient",D510&gt;=10,"Expert")</f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15"/>
        <v>Involuntary</v>
      </c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14"/>
        <v>15</v>
      </c>
      <c r="E511" s="6" t="str" cm="1">
        <f t="array" ref="E511">_xlfn.IFS(D511&lt;=5,"Newcomer",AND(D511&gt;=6,D511&lt;=10),"Proficient",D511&gt;=10,"Expert")</f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15"/>
        <v>Involuntary</v>
      </c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14"/>
        <v>28</v>
      </c>
      <c r="E512" s="6" t="str" cm="1">
        <f t="array" ref="E512">_xlfn.IFS(D512&lt;=5,"Newcomer",AND(D512&gt;=6,D512&lt;=10),"Proficient",D512&gt;=10,"Expert")</f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15"/>
        <v>Involuntary</v>
      </c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14"/>
        <v>28</v>
      </c>
      <c r="E513" s="6" t="str" cm="1">
        <f t="array" ref="E513">_xlfn.IFS(D513&lt;=5,"Newcomer",AND(D513&gt;=6,D513&lt;=10),"Proficient",D513&gt;=10,"Expert")</f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15"/>
        <v>Involuntary</v>
      </c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14"/>
        <v>21</v>
      </c>
      <c r="E514" s="6" t="str" cm="1">
        <f t="array" ref="E514">_xlfn.IFS(D514&lt;=5,"Newcomer",AND(D514&gt;=6,D514&lt;=10),"Proficient",D514&gt;=10,"Expert")</f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15"/>
        <v>Involuntary</v>
      </c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16">YEAR(C515)-YEAR(B515)</f>
        <v>9</v>
      </c>
      <c r="E515" s="6" t="str" cm="1">
        <f t="array" ref="E515">_xlfn.IFS(D515&lt;=5,"Newcomer",AND(D515&gt;=6,D515&lt;=10),"Proficient",D515&gt;=10,"Expert")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ref="M515:M578" si="17">IF(OR(L515="Retirement",L515="Resignation"),"Voluntary","Involuntary")</f>
        <v>Involuntary</v>
      </c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16"/>
        <v>8</v>
      </c>
      <c r="E516" s="6" t="str" cm="1">
        <f t="array" ref="E516">_xlfn.IFS(D516&lt;=5,"Newcomer",AND(D516&gt;=6,D516&lt;=10),"Proficient",D516&gt;=10,"Expert")</f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17"/>
        <v>Involuntary</v>
      </c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16"/>
        <v>23</v>
      </c>
      <c r="E517" s="6" t="str" cm="1">
        <f t="array" ref="E517">_xlfn.IFS(D517&lt;=5,"Newcomer",AND(D517&gt;=6,D517&lt;=10),"Proficient",D517&gt;=10,"Expert")</f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17"/>
        <v>Involuntary</v>
      </c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16"/>
        <v>6</v>
      </c>
      <c r="E518" s="6" t="str" cm="1">
        <f t="array" ref="E518">_xlfn.IFS(D518&lt;=5,"Newcomer",AND(D518&gt;=6,D518&lt;=10),"Proficient",D518&gt;=10,"Expert")</f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17"/>
        <v>Involuntary</v>
      </c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16"/>
        <v>6</v>
      </c>
      <c r="E519" s="6" t="str" cm="1">
        <f t="array" ref="E519">_xlfn.IFS(D519&lt;=5,"Newcomer",AND(D519&gt;=6,D519&lt;=10),"Proficient",D519&gt;=10,"Expert")</f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17"/>
        <v>Involuntary</v>
      </c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16"/>
        <v>12</v>
      </c>
      <c r="E520" s="6" t="str" cm="1">
        <f t="array" ref="E520">_xlfn.IFS(D520&lt;=5,"Newcomer",AND(D520&gt;=6,D520&lt;=10),"Proficient",D520&gt;=10,"Expert")</f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17"/>
        <v>Involuntary</v>
      </c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16"/>
        <v>30</v>
      </c>
      <c r="E521" s="6" t="str" cm="1">
        <f t="array" ref="E521">_xlfn.IFS(D521&lt;=5,"Newcomer",AND(D521&gt;=6,D521&lt;=10),"Proficient",D521&gt;=10,"Expert")</f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17"/>
        <v>Involuntary</v>
      </c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16"/>
        <v>30</v>
      </c>
      <c r="E522" s="6" t="str" cm="1">
        <f t="array" ref="E522">_xlfn.IFS(D522&lt;=5,"Newcomer",AND(D522&gt;=6,D522&lt;=10),"Proficient",D522&gt;=10,"Expert")</f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17"/>
        <v>Involuntary</v>
      </c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16"/>
        <v>8</v>
      </c>
      <c r="E523" s="6" t="str" cm="1">
        <f t="array" ref="E523">_xlfn.IFS(D523&lt;=5,"Newcomer",AND(D523&gt;=6,D523&lt;=10),"Proficient",D523&gt;=10,"Expert")</f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17"/>
        <v>Involuntary</v>
      </c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16"/>
        <v>5</v>
      </c>
      <c r="E524" s="6" t="str" cm="1">
        <f t="array" ref="E524">_xlfn.IFS(D524&lt;=5,"Newcomer",AND(D524&gt;=6,D524&lt;=10),"Proficient",D524&gt;=10,"Expert")</f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17"/>
        <v>Involuntary</v>
      </c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16"/>
        <v>26</v>
      </c>
      <c r="E525" s="6" t="str" cm="1">
        <f t="array" ref="E525">_xlfn.IFS(D525&lt;=5,"Newcomer",AND(D525&gt;=6,D525&lt;=10),"Proficient",D525&gt;=10,"Expert")</f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17"/>
        <v>Involuntary</v>
      </c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16"/>
        <v>24</v>
      </c>
      <c r="E526" s="6" t="str" cm="1">
        <f t="array" ref="E526">_xlfn.IFS(D526&lt;=5,"Newcomer",AND(D526&gt;=6,D526&lt;=10),"Proficient",D526&gt;=10,"Expert")</f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17"/>
        <v>Involuntary</v>
      </c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16"/>
        <v>17</v>
      </c>
      <c r="E527" s="6" t="str" cm="1">
        <f t="array" ref="E527">_xlfn.IFS(D527&lt;=5,"Newcomer",AND(D527&gt;=6,D527&lt;=10),"Proficient",D527&gt;=10,"Expert")</f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17"/>
        <v>Involuntary</v>
      </c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16"/>
        <v>14</v>
      </c>
      <c r="E528" s="6" t="str" cm="1">
        <f t="array" ref="E528">_xlfn.IFS(D528&lt;=5,"Newcomer",AND(D528&gt;=6,D528&lt;=10),"Proficient",D528&gt;=10,"Expert")</f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17"/>
        <v>Involuntary</v>
      </c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16"/>
        <v>12</v>
      </c>
      <c r="E529" s="6" t="str" cm="1">
        <f t="array" ref="E529">_xlfn.IFS(D529&lt;=5,"Newcomer",AND(D529&gt;=6,D529&lt;=10),"Proficient",D529&gt;=10,"Expert")</f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17"/>
        <v>Voluntary</v>
      </c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16"/>
        <v>7</v>
      </c>
      <c r="E530" s="6" t="str" cm="1">
        <f t="array" ref="E530">_xlfn.IFS(D530&lt;=5,"Newcomer",AND(D530&gt;=6,D530&lt;=10),"Proficient",D530&gt;=10,"Expert")</f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17"/>
        <v>Involuntary</v>
      </c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16"/>
        <v>26</v>
      </c>
      <c r="E531" s="6" t="str" cm="1">
        <f t="array" ref="E531">_xlfn.IFS(D531&lt;=5,"Newcomer",AND(D531&gt;=6,D531&lt;=10),"Proficient",D531&gt;=10,"Expert")</f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17"/>
        <v>Voluntary</v>
      </c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16"/>
        <v>9</v>
      </c>
      <c r="E532" s="6" t="str" cm="1">
        <f t="array" ref="E532">_xlfn.IFS(D532&lt;=5,"Newcomer",AND(D532&gt;=6,D532&lt;=10),"Proficient",D532&gt;=10,"Expert")</f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17"/>
        <v>Involuntary</v>
      </c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16"/>
        <v>5</v>
      </c>
      <c r="E533" s="6" t="str" cm="1">
        <f t="array" ref="E533">_xlfn.IFS(D533&lt;=5,"Newcomer",AND(D533&gt;=6,D533&lt;=10),"Proficient",D533&gt;=10,"Expert")</f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17"/>
        <v>Involuntary</v>
      </c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16"/>
        <v>28</v>
      </c>
      <c r="E534" s="6" t="str" cm="1">
        <f t="array" ref="E534">_xlfn.IFS(D534&lt;=5,"Newcomer",AND(D534&gt;=6,D534&lt;=10),"Proficient",D534&gt;=10,"Expert")</f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17"/>
        <v>Involuntary</v>
      </c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16"/>
        <v>27</v>
      </c>
      <c r="E535" s="6" t="str" cm="1">
        <f t="array" ref="E535">_xlfn.IFS(D535&lt;=5,"Newcomer",AND(D535&gt;=6,D535&lt;=10),"Proficient",D535&gt;=10,"Expert")</f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17"/>
        <v>Involuntary</v>
      </c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16"/>
        <v>8</v>
      </c>
      <c r="E536" s="6" t="str" cm="1">
        <f t="array" ref="E536">_xlfn.IFS(D536&lt;=5,"Newcomer",AND(D536&gt;=6,D536&lt;=10),"Proficient",D536&gt;=10,"Expert")</f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17"/>
        <v>Involuntary</v>
      </c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16"/>
        <v>13</v>
      </c>
      <c r="E537" s="6" t="str" cm="1">
        <f t="array" ref="E537">_xlfn.IFS(D537&lt;=5,"Newcomer",AND(D537&gt;=6,D537&lt;=10),"Proficient",D537&gt;=10,"Expert")</f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17"/>
        <v>Involuntary</v>
      </c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16"/>
        <v>27</v>
      </c>
      <c r="E538" s="6" t="str" cm="1">
        <f t="array" ref="E538">_xlfn.IFS(D538&lt;=5,"Newcomer",AND(D538&gt;=6,D538&lt;=10),"Proficient",D538&gt;=10,"Expert")</f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17"/>
        <v>Involuntary</v>
      </c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16"/>
        <v>11</v>
      </c>
      <c r="E539" s="6" t="str" cm="1">
        <f t="array" ref="E539">_xlfn.IFS(D539&lt;=5,"Newcomer",AND(D539&gt;=6,D539&lt;=10),"Proficient",D539&gt;=10,"Expert")</f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17"/>
        <v>Involuntary</v>
      </c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16"/>
        <v>11</v>
      </c>
      <c r="E540" s="6" t="str" cm="1">
        <f t="array" ref="E540">_xlfn.IFS(D540&lt;=5,"Newcomer",AND(D540&gt;=6,D540&lt;=10),"Proficient",D540&gt;=10,"Expert")</f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17"/>
        <v>Involuntary</v>
      </c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16"/>
        <v>9</v>
      </c>
      <c r="E541" s="6" t="str" cm="1">
        <f t="array" ref="E541">_xlfn.IFS(D541&lt;=5,"Newcomer",AND(D541&gt;=6,D541&lt;=10),"Proficient",D541&gt;=10,"Expert")</f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17"/>
        <v>Involuntary</v>
      </c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16"/>
        <v>22</v>
      </c>
      <c r="E542" s="6" t="str" cm="1">
        <f t="array" ref="E542">_xlfn.IFS(D542&lt;=5,"Newcomer",AND(D542&gt;=6,D542&lt;=10),"Proficient",D542&gt;=10,"Expert")</f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17"/>
        <v>Involuntary</v>
      </c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16"/>
        <v>7</v>
      </c>
      <c r="E543" s="6" t="str" cm="1">
        <f t="array" ref="E543">_xlfn.IFS(D543&lt;=5,"Newcomer",AND(D543&gt;=6,D543&lt;=10),"Proficient",D543&gt;=10,"Expert")</f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17"/>
        <v>Involuntary</v>
      </c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16"/>
        <v>12</v>
      </c>
      <c r="E544" s="6" t="str" cm="1">
        <f t="array" ref="E544">_xlfn.IFS(D544&lt;=5,"Newcomer",AND(D544&gt;=6,D544&lt;=10),"Proficient",D544&gt;=10,"Expert")</f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17"/>
        <v>Involuntary</v>
      </c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16"/>
        <v>16</v>
      </c>
      <c r="E545" s="6" t="str" cm="1">
        <f t="array" ref="E545">_xlfn.IFS(D545&lt;=5,"Newcomer",AND(D545&gt;=6,D545&lt;=10),"Proficient",D545&gt;=10,"Expert")</f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17"/>
        <v>Involuntary</v>
      </c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16"/>
        <v>16</v>
      </c>
      <c r="E546" s="6" t="str" cm="1">
        <f t="array" ref="E546">_xlfn.IFS(D546&lt;=5,"Newcomer",AND(D546&gt;=6,D546&lt;=10),"Proficient",D546&gt;=10,"Expert")</f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17"/>
        <v>Involuntary</v>
      </c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16"/>
        <v>6</v>
      </c>
      <c r="E547" s="6" t="str" cm="1">
        <f t="array" ref="E547">_xlfn.IFS(D547&lt;=5,"Newcomer",AND(D547&gt;=6,D547&lt;=10),"Proficient",D547&gt;=10,"Expert")</f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17"/>
        <v>Involuntary</v>
      </c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16"/>
        <v>20</v>
      </c>
      <c r="E548" s="6" t="str" cm="1">
        <f t="array" ref="E548">_xlfn.IFS(D548&lt;=5,"Newcomer",AND(D548&gt;=6,D548&lt;=10),"Proficient",D548&gt;=10,"Expert")</f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17"/>
        <v>Involuntary</v>
      </c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16"/>
        <v>29</v>
      </c>
      <c r="E549" s="6" t="str" cm="1">
        <f t="array" ref="E549">_xlfn.IFS(D549&lt;=5,"Newcomer",AND(D549&gt;=6,D549&lt;=10),"Proficient",D549&gt;=10,"Expert")</f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17"/>
        <v>Involuntary</v>
      </c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16"/>
        <v>15</v>
      </c>
      <c r="E550" s="6" t="str" cm="1">
        <f t="array" ref="E550">_xlfn.IFS(D550&lt;=5,"Newcomer",AND(D550&gt;=6,D550&lt;=10),"Proficient",D550&gt;=10,"Expert")</f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17"/>
        <v>Involuntary</v>
      </c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16"/>
        <v>6</v>
      </c>
      <c r="E551" s="6" t="str" cm="1">
        <f t="array" ref="E551">_xlfn.IFS(D551&lt;=5,"Newcomer",AND(D551&gt;=6,D551&lt;=10),"Proficient",D551&gt;=10,"Expert")</f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17"/>
        <v>Involuntary</v>
      </c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16"/>
        <v>26</v>
      </c>
      <c r="E552" s="6" t="str" cm="1">
        <f t="array" ref="E552">_xlfn.IFS(D552&lt;=5,"Newcomer",AND(D552&gt;=6,D552&lt;=10),"Proficient",D552&gt;=10,"Expert")</f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17"/>
        <v>Involuntary</v>
      </c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16"/>
        <v>16</v>
      </c>
      <c r="E553" s="6" t="str" cm="1">
        <f t="array" ref="E553">_xlfn.IFS(D553&lt;=5,"Newcomer",AND(D553&gt;=6,D553&lt;=10),"Proficient",D553&gt;=10,"Expert")</f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17"/>
        <v>Involuntary</v>
      </c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16"/>
        <v>11</v>
      </c>
      <c r="E554" s="6" t="str" cm="1">
        <f t="array" ref="E554">_xlfn.IFS(D554&lt;=5,"Newcomer",AND(D554&gt;=6,D554&lt;=10),"Proficient",D554&gt;=10,"Expert")</f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17"/>
        <v>Involuntary</v>
      </c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16"/>
        <v>23</v>
      </c>
      <c r="E555" s="6" t="str" cm="1">
        <f t="array" ref="E555">_xlfn.IFS(D555&lt;=5,"Newcomer",AND(D555&gt;=6,D555&lt;=10),"Proficient",D555&gt;=10,"Expert")</f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17"/>
        <v>Involuntary</v>
      </c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16"/>
        <v>30</v>
      </c>
      <c r="E556" s="6" t="str" cm="1">
        <f t="array" ref="E556">_xlfn.IFS(D556&lt;=5,"Newcomer",AND(D556&gt;=6,D556&lt;=10),"Proficient",D556&gt;=10,"Expert")</f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17"/>
        <v>Involuntary</v>
      </c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16"/>
        <v>11</v>
      </c>
      <c r="E557" s="6" t="str" cm="1">
        <f t="array" ref="E557">_xlfn.IFS(D557&lt;=5,"Newcomer",AND(D557&gt;=6,D557&lt;=10),"Proficient",D557&gt;=10,"Expert")</f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17"/>
        <v>Involuntary</v>
      </c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16"/>
        <v>30</v>
      </c>
      <c r="E558" s="6" t="str" cm="1">
        <f t="array" ref="E558">_xlfn.IFS(D558&lt;=5,"Newcomer",AND(D558&gt;=6,D558&lt;=10),"Proficient",D558&gt;=10,"Expert")</f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17"/>
        <v>Involuntary</v>
      </c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16"/>
        <v>23</v>
      </c>
      <c r="E559" s="6" t="str" cm="1">
        <f t="array" ref="E559">_xlfn.IFS(D559&lt;=5,"Newcomer",AND(D559&gt;=6,D559&lt;=10),"Proficient",D559&gt;=10,"Expert")</f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17"/>
        <v>Involuntary</v>
      </c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16"/>
        <v>23</v>
      </c>
      <c r="E560" s="6" t="str" cm="1">
        <f t="array" ref="E560">_xlfn.IFS(D560&lt;=5,"Newcomer",AND(D560&gt;=6,D560&lt;=10),"Proficient",D560&gt;=10,"Expert")</f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17"/>
        <v>Involuntary</v>
      </c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16"/>
        <v>23</v>
      </c>
      <c r="E561" s="6" t="str" cm="1">
        <f t="array" ref="E561">_xlfn.IFS(D561&lt;=5,"Newcomer",AND(D561&gt;=6,D561&lt;=10),"Proficient",D561&gt;=10,"Expert")</f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17"/>
        <v>Involuntary</v>
      </c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16"/>
        <v>27</v>
      </c>
      <c r="E562" s="6" t="str" cm="1">
        <f t="array" ref="E562">_xlfn.IFS(D562&lt;=5,"Newcomer",AND(D562&gt;=6,D562&lt;=10),"Proficient",D562&gt;=10,"Expert")</f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17"/>
        <v>Involuntary</v>
      </c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16"/>
        <v>26</v>
      </c>
      <c r="E563" s="6" t="str" cm="1">
        <f t="array" ref="E563">_xlfn.IFS(D563&lt;=5,"Newcomer",AND(D563&gt;=6,D563&lt;=10),"Proficient",D563&gt;=10,"Expert")</f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17"/>
        <v>Involuntary</v>
      </c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16"/>
        <v>24</v>
      </c>
      <c r="E564" s="6" t="str" cm="1">
        <f t="array" ref="E564">_xlfn.IFS(D564&lt;=5,"Newcomer",AND(D564&gt;=6,D564&lt;=10),"Proficient",D564&gt;=10,"Expert")</f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17"/>
        <v>Involuntary</v>
      </c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16"/>
        <v>25</v>
      </c>
      <c r="E565" s="6" t="str" cm="1">
        <f t="array" ref="E565">_xlfn.IFS(D565&lt;=5,"Newcomer",AND(D565&gt;=6,D565&lt;=10),"Proficient",D565&gt;=10,"Expert")</f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17"/>
        <v>Involuntary</v>
      </c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16"/>
        <v>12</v>
      </c>
      <c r="E566" s="6" t="str" cm="1">
        <f t="array" ref="E566">_xlfn.IFS(D566&lt;=5,"Newcomer",AND(D566&gt;=6,D566&lt;=10),"Proficient",D566&gt;=10,"Expert")</f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17"/>
        <v>Involuntary</v>
      </c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16"/>
        <v>17</v>
      </c>
      <c r="E567" s="6" t="str" cm="1">
        <f t="array" ref="E567">_xlfn.IFS(D567&lt;=5,"Newcomer",AND(D567&gt;=6,D567&lt;=10),"Proficient",D567&gt;=10,"Expert")</f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17"/>
        <v>Involuntary</v>
      </c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16"/>
        <v>9</v>
      </c>
      <c r="E568" s="6" t="str" cm="1">
        <f t="array" ref="E568">_xlfn.IFS(D568&lt;=5,"Newcomer",AND(D568&gt;=6,D568&lt;=10),"Proficient",D568&gt;=10,"Expert")</f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17"/>
        <v>Involuntary</v>
      </c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16"/>
        <v>21</v>
      </c>
      <c r="E569" s="6" t="str" cm="1">
        <f t="array" ref="E569">_xlfn.IFS(D569&lt;=5,"Newcomer",AND(D569&gt;=6,D569&lt;=10),"Proficient",D569&gt;=10,"Expert")</f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17"/>
        <v>Involuntary</v>
      </c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16"/>
        <v>9</v>
      </c>
      <c r="E570" s="6" t="str" cm="1">
        <f t="array" ref="E570">_xlfn.IFS(D570&lt;=5,"Newcomer",AND(D570&gt;=6,D570&lt;=10),"Proficient",D570&gt;=10,"Expert")</f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17"/>
        <v>Involuntary</v>
      </c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16"/>
        <v>13</v>
      </c>
      <c r="E571" s="6" t="str" cm="1">
        <f t="array" ref="E571">_xlfn.IFS(D571&lt;=5,"Newcomer",AND(D571&gt;=6,D571&lt;=10),"Proficient",D571&gt;=10,"Expert")</f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17"/>
        <v>Involuntary</v>
      </c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16"/>
        <v>5</v>
      </c>
      <c r="E572" s="6" t="str" cm="1">
        <f t="array" ref="E572">_xlfn.IFS(D572&lt;=5,"Newcomer",AND(D572&gt;=6,D572&lt;=10),"Proficient",D572&gt;=10,"Expert")</f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17"/>
        <v>Involuntary</v>
      </c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16"/>
        <v>28</v>
      </c>
      <c r="E573" s="6" t="str" cm="1">
        <f t="array" ref="E573">_xlfn.IFS(D573&lt;=5,"Newcomer",AND(D573&gt;=6,D573&lt;=10),"Proficient",D573&gt;=10,"Expert")</f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17"/>
        <v>Involuntary</v>
      </c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16"/>
        <v>18</v>
      </c>
      <c r="E574" s="6" t="str" cm="1">
        <f t="array" ref="E574">_xlfn.IFS(D574&lt;=5,"Newcomer",AND(D574&gt;=6,D574&lt;=10),"Proficient",D574&gt;=10,"Expert")</f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17"/>
        <v>Voluntary</v>
      </c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16"/>
        <v>5</v>
      </c>
      <c r="E575" s="6" t="str" cm="1">
        <f t="array" ref="E575">_xlfn.IFS(D575&lt;=5,"Newcomer",AND(D575&gt;=6,D575&lt;=10),"Proficient",D575&gt;=10,"Expert")</f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17"/>
        <v>Involuntary</v>
      </c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16"/>
        <v>5</v>
      </c>
      <c r="E576" s="6" t="str" cm="1">
        <f t="array" ref="E576">_xlfn.IFS(D576&lt;=5,"Newcomer",AND(D576&gt;=6,D576&lt;=10),"Proficient",D576&gt;=10,"Expert")</f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17"/>
        <v>Involuntary</v>
      </c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16"/>
        <v>5</v>
      </c>
      <c r="E577" s="6" t="str" cm="1">
        <f t="array" ref="E577">_xlfn.IFS(D577&lt;=5,"Newcomer",AND(D577&gt;=6,D577&lt;=10),"Proficient",D577&gt;=10,"Expert")</f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17"/>
        <v>Involuntary</v>
      </c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16"/>
        <v>23</v>
      </c>
      <c r="E578" s="6" t="str" cm="1">
        <f t="array" ref="E578">_xlfn.IFS(D578&lt;=5,"Newcomer",AND(D578&gt;=6,D578&lt;=10),"Proficient",D578&gt;=10,"Expert")</f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17"/>
        <v>Involuntary</v>
      </c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18">YEAR(C579)-YEAR(B579)</f>
        <v>27</v>
      </c>
      <c r="E579" s="6" t="str" cm="1">
        <f t="array" ref="E579">_xlfn.IFS(D579&lt;=5,"Newcomer",AND(D579&gt;=6,D579&lt;=10),"Proficient",D579&gt;=10,"Expert")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ref="M579:M642" si="19">IF(OR(L579="Retirement",L579="Resignation"),"Voluntary","Involuntary")</f>
        <v>Involuntary</v>
      </c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18"/>
        <v>9</v>
      </c>
      <c r="E580" s="6" t="str" cm="1">
        <f t="array" ref="E580">_xlfn.IFS(D580&lt;=5,"Newcomer",AND(D580&gt;=6,D580&lt;=10),"Proficient",D580&gt;=10,"Expert")</f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19"/>
        <v>Involuntary</v>
      </c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18"/>
        <v>27</v>
      </c>
      <c r="E581" s="6" t="str" cm="1">
        <f t="array" ref="E581">_xlfn.IFS(D581&lt;=5,"Newcomer",AND(D581&gt;=6,D581&lt;=10),"Proficient",D581&gt;=10,"Expert")</f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19"/>
        <v>Involuntary</v>
      </c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18"/>
        <v>10</v>
      </c>
      <c r="E582" s="6" t="str" cm="1">
        <f t="array" ref="E582">_xlfn.IFS(D582&lt;=5,"Newcomer",AND(D582&gt;=6,D582&lt;=10),"Proficient",D582&gt;=10,"Expert")</f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19"/>
        <v>Involuntary</v>
      </c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18"/>
        <v>9</v>
      </c>
      <c r="E583" s="6" t="str" cm="1">
        <f t="array" ref="E583">_xlfn.IFS(D583&lt;=5,"Newcomer",AND(D583&gt;=6,D583&lt;=10),"Proficient",D583&gt;=10,"Expert")</f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19"/>
        <v>Involuntary</v>
      </c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18"/>
        <v>22</v>
      </c>
      <c r="E584" s="6" t="str" cm="1">
        <f t="array" ref="E584">_xlfn.IFS(D584&lt;=5,"Newcomer",AND(D584&gt;=6,D584&lt;=10),"Proficient",D584&gt;=10,"Expert")</f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19"/>
        <v>Involuntary</v>
      </c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18"/>
        <v>6</v>
      </c>
      <c r="E585" s="6" t="str" cm="1">
        <f t="array" ref="E585">_xlfn.IFS(D585&lt;=5,"Newcomer",AND(D585&gt;=6,D585&lt;=10),"Proficient",D585&gt;=10,"Expert")</f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19"/>
        <v>Involuntary</v>
      </c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18"/>
        <v>27</v>
      </c>
      <c r="E586" s="6" t="str" cm="1">
        <f t="array" ref="E586">_xlfn.IFS(D586&lt;=5,"Newcomer",AND(D586&gt;=6,D586&lt;=10),"Proficient",D586&gt;=10,"Expert")</f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19"/>
        <v>Involuntary</v>
      </c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18"/>
        <v>10</v>
      </c>
      <c r="E587" s="6" t="str" cm="1">
        <f t="array" ref="E587">_xlfn.IFS(D587&lt;=5,"Newcomer",AND(D587&gt;=6,D587&lt;=10),"Proficient",D587&gt;=10,"Expert")</f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19"/>
        <v>Voluntary</v>
      </c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18"/>
        <v>13</v>
      </c>
      <c r="E588" s="6" t="str" cm="1">
        <f t="array" ref="E588">_xlfn.IFS(D588&lt;=5,"Newcomer",AND(D588&gt;=6,D588&lt;=10),"Proficient",D588&gt;=10,"Expert")</f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19"/>
        <v>Involuntary</v>
      </c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18"/>
        <v>9</v>
      </c>
      <c r="E589" s="6" t="str" cm="1">
        <f t="array" ref="E589">_xlfn.IFS(D589&lt;=5,"Newcomer",AND(D589&gt;=6,D589&lt;=10),"Proficient",D589&gt;=10,"Expert")</f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19"/>
        <v>Involuntary</v>
      </c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18"/>
        <v>11</v>
      </c>
      <c r="E590" s="6" t="str" cm="1">
        <f t="array" ref="E590">_xlfn.IFS(D590&lt;=5,"Newcomer",AND(D590&gt;=6,D590&lt;=10),"Proficient",D590&gt;=10,"Expert")</f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19"/>
        <v>Voluntary</v>
      </c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18"/>
        <v>13</v>
      </c>
      <c r="E591" s="6" t="str" cm="1">
        <f t="array" ref="E591">_xlfn.IFS(D591&lt;=5,"Newcomer",AND(D591&gt;=6,D591&lt;=10),"Proficient",D591&gt;=10,"Expert")</f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19"/>
        <v>Involuntary</v>
      </c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18"/>
        <v>20</v>
      </c>
      <c r="E592" s="6" t="str" cm="1">
        <f t="array" ref="E592">_xlfn.IFS(D592&lt;=5,"Newcomer",AND(D592&gt;=6,D592&lt;=10),"Proficient",D592&gt;=10,"Expert")</f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19"/>
        <v>Involuntary</v>
      </c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18"/>
        <v>15</v>
      </c>
      <c r="E593" s="6" t="str" cm="1">
        <f t="array" ref="E593">_xlfn.IFS(D593&lt;=5,"Newcomer",AND(D593&gt;=6,D593&lt;=10),"Proficient",D593&gt;=10,"Expert")</f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19"/>
        <v>Involuntary</v>
      </c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18"/>
        <v>25</v>
      </c>
      <c r="E594" s="6" t="str" cm="1">
        <f t="array" ref="E594">_xlfn.IFS(D594&lt;=5,"Newcomer",AND(D594&gt;=6,D594&lt;=10),"Proficient",D594&gt;=10,"Expert")</f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19"/>
        <v>Involuntary</v>
      </c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18"/>
        <v>14</v>
      </c>
      <c r="E595" s="6" t="str" cm="1">
        <f t="array" ref="E595">_xlfn.IFS(D595&lt;=5,"Newcomer",AND(D595&gt;=6,D595&lt;=10),"Proficient",D595&gt;=10,"Expert")</f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19"/>
        <v>Involuntary</v>
      </c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18"/>
        <v>30</v>
      </c>
      <c r="E596" s="6" t="str" cm="1">
        <f t="array" ref="E596">_xlfn.IFS(D596&lt;=5,"Newcomer",AND(D596&gt;=6,D596&lt;=10),"Proficient",D596&gt;=10,"Expert")</f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19"/>
        <v>Voluntary</v>
      </c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18"/>
        <v>8</v>
      </c>
      <c r="E597" s="6" t="str" cm="1">
        <f t="array" ref="E597">_xlfn.IFS(D597&lt;=5,"Newcomer",AND(D597&gt;=6,D597&lt;=10),"Proficient",D597&gt;=10,"Expert")</f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19"/>
        <v>Involuntary</v>
      </c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18"/>
        <v>13</v>
      </c>
      <c r="E598" s="6" t="str" cm="1">
        <f t="array" ref="E598">_xlfn.IFS(D598&lt;=5,"Newcomer",AND(D598&gt;=6,D598&lt;=10),"Proficient",D598&gt;=10,"Expert")</f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19"/>
        <v>Involuntary</v>
      </c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18"/>
        <v>5</v>
      </c>
      <c r="E599" s="6" t="str" cm="1">
        <f t="array" ref="E599">_xlfn.IFS(D599&lt;=5,"Newcomer",AND(D599&gt;=6,D599&lt;=10),"Proficient",D599&gt;=10,"Expert")</f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19"/>
        <v>Involuntary</v>
      </c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18"/>
        <v>10</v>
      </c>
      <c r="E600" s="6" t="str" cm="1">
        <f t="array" ref="E600">_xlfn.IFS(D600&lt;=5,"Newcomer",AND(D600&gt;=6,D600&lt;=10),"Proficient",D600&gt;=10,"Expert")</f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19"/>
        <v>Involuntary</v>
      </c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18"/>
        <v>11</v>
      </c>
      <c r="E601" s="6" t="str" cm="1">
        <f t="array" ref="E601">_xlfn.IFS(D601&lt;=5,"Newcomer",AND(D601&gt;=6,D601&lt;=10),"Proficient",D601&gt;=10,"Expert")</f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19"/>
        <v>Voluntary</v>
      </c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18"/>
        <v>15</v>
      </c>
      <c r="E602" s="6" t="str" cm="1">
        <f t="array" ref="E602">_xlfn.IFS(D602&lt;=5,"Newcomer",AND(D602&gt;=6,D602&lt;=10),"Proficient",D602&gt;=10,"Expert")</f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19"/>
        <v>Involuntary</v>
      </c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18"/>
        <v>28</v>
      </c>
      <c r="E603" s="6" t="str" cm="1">
        <f t="array" ref="E603">_xlfn.IFS(D603&lt;=5,"Newcomer",AND(D603&gt;=6,D603&lt;=10),"Proficient",D603&gt;=10,"Expert")</f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19"/>
        <v>Involuntary</v>
      </c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18"/>
        <v>24</v>
      </c>
      <c r="E604" s="6" t="str" cm="1">
        <f t="array" ref="E604">_xlfn.IFS(D604&lt;=5,"Newcomer",AND(D604&gt;=6,D604&lt;=10),"Proficient",D604&gt;=10,"Expert")</f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19"/>
        <v>Involuntary</v>
      </c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18"/>
        <v>20</v>
      </c>
      <c r="E605" s="6" t="str" cm="1">
        <f t="array" ref="E605">_xlfn.IFS(D605&lt;=5,"Newcomer",AND(D605&gt;=6,D605&lt;=10),"Proficient",D605&gt;=10,"Expert")</f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19"/>
        <v>Involuntary</v>
      </c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18"/>
        <v>23</v>
      </c>
      <c r="E606" s="6" t="str" cm="1">
        <f t="array" ref="E606">_xlfn.IFS(D606&lt;=5,"Newcomer",AND(D606&gt;=6,D606&lt;=10),"Proficient",D606&gt;=10,"Expert")</f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19"/>
        <v>Involuntary</v>
      </c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18"/>
        <v>23</v>
      </c>
      <c r="E607" s="6" t="str" cm="1">
        <f t="array" ref="E607">_xlfn.IFS(D607&lt;=5,"Newcomer",AND(D607&gt;=6,D607&lt;=10),"Proficient",D607&gt;=10,"Expert")</f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19"/>
        <v>Involuntary</v>
      </c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18"/>
        <v>23</v>
      </c>
      <c r="E608" s="6" t="str" cm="1">
        <f t="array" ref="E608">_xlfn.IFS(D608&lt;=5,"Newcomer",AND(D608&gt;=6,D608&lt;=10),"Proficient",D608&gt;=10,"Expert")</f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19"/>
        <v>Involuntary</v>
      </c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18"/>
        <v>19</v>
      </c>
      <c r="E609" s="6" t="str" cm="1">
        <f t="array" ref="E609">_xlfn.IFS(D609&lt;=5,"Newcomer",AND(D609&gt;=6,D609&lt;=10),"Proficient",D609&gt;=10,"Expert")</f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19"/>
        <v>Involuntary</v>
      </c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18"/>
        <v>24</v>
      </c>
      <c r="E610" s="6" t="str" cm="1">
        <f t="array" ref="E610">_xlfn.IFS(D610&lt;=5,"Newcomer",AND(D610&gt;=6,D610&lt;=10),"Proficient",D610&gt;=10,"Expert")</f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19"/>
        <v>Involuntary</v>
      </c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18"/>
        <v>21</v>
      </c>
      <c r="E611" s="6" t="str" cm="1">
        <f t="array" ref="E611">_xlfn.IFS(D611&lt;=5,"Newcomer",AND(D611&gt;=6,D611&lt;=10),"Proficient",D611&gt;=10,"Expert")</f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19"/>
        <v>Involuntary</v>
      </c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18"/>
        <v>6</v>
      </c>
      <c r="E612" s="6" t="str" cm="1">
        <f t="array" ref="E612">_xlfn.IFS(D612&lt;=5,"Newcomer",AND(D612&gt;=6,D612&lt;=10),"Proficient",D612&gt;=10,"Expert")</f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19"/>
        <v>Involuntary</v>
      </c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18"/>
        <v>24</v>
      </c>
      <c r="E613" s="6" t="str" cm="1">
        <f t="array" ref="E613">_xlfn.IFS(D613&lt;=5,"Newcomer",AND(D613&gt;=6,D613&lt;=10),"Proficient",D613&gt;=10,"Expert")</f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19"/>
        <v>Involuntary</v>
      </c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18"/>
        <v>22</v>
      </c>
      <c r="E614" s="6" t="str" cm="1">
        <f t="array" ref="E614">_xlfn.IFS(D614&lt;=5,"Newcomer",AND(D614&gt;=6,D614&lt;=10),"Proficient",D614&gt;=10,"Expert")</f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19"/>
        <v>Involuntary</v>
      </c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18"/>
        <v>10</v>
      </c>
      <c r="E615" s="6" t="str" cm="1">
        <f t="array" ref="E615">_xlfn.IFS(D615&lt;=5,"Newcomer",AND(D615&gt;=6,D615&lt;=10),"Proficient",D615&gt;=10,"Expert")</f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19"/>
        <v>Involuntary</v>
      </c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18"/>
        <v>22</v>
      </c>
      <c r="E616" s="6" t="str" cm="1">
        <f t="array" ref="E616">_xlfn.IFS(D616&lt;=5,"Newcomer",AND(D616&gt;=6,D616&lt;=10),"Proficient",D616&gt;=10,"Expert")</f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19"/>
        <v>Involuntary</v>
      </c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18"/>
        <v>15</v>
      </c>
      <c r="E617" s="6" t="str" cm="1">
        <f t="array" ref="E617">_xlfn.IFS(D617&lt;=5,"Newcomer",AND(D617&gt;=6,D617&lt;=10),"Proficient",D617&gt;=10,"Expert")</f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19"/>
        <v>Involuntary</v>
      </c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18"/>
        <v>10</v>
      </c>
      <c r="E618" s="6" t="str" cm="1">
        <f t="array" ref="E618">_xlfn.IFS(D618&lt;=5,"Newcomer",AND(D618&gt;=6,D618&lt;=10),"Proficient",D618&gt;=10,"Expert")</f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19"/>
        <v>Involuntary</v>
      </c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18"/>
        <v>27</v>
      </c>
      <c r="E619" s="6" t="str" cm="1">
        <f t="array" ref="E619">_xlfn.IFS(D619&lt;=5,"Newcomer",AND(D619&gt;=6,D619&lt;=10),"Proficient",D619&gt;=10,"Expert")</f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19"/>
        <v>Involuntary</v>
      </c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18"/>
        <v>7</v>
      </c>
      <c r="E620" s="6" t="str" cm="1">
        <f t="array" ref="E620">_xlfn.IFS(D620&lt;=5,"Newcomer",AND(D620&gt;=6,D620&lt;=10),"Proficient",D620&gt;=10,"Expert")</f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19"/>
        <v>Involuntary</v>
      </c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18"/>
        <v>10</v>
      </c>
      <c r="E621" s="6" t="str" cm="1">
        <f t="array" ref="E621">_xlfn.IFS(D621&lt;=5,"Newcomer",AND(D621&gt;=6,D621&lt;=10),"Proficient",D621&gt;=10,"Expert")</f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19"/>
        <v>Involuntary</v>
      </c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18"/>
        <v>22</v>
      </c>
      <c r="E622" s="6" t="str" cm="1">
        <f t="array" ref="E622">_xlfn.IFS(D622&lt;=5,"Newcomer",AND(D622&gt;=6,D622&lt;=10),"Proficient",D622&gt;=10,"Expert")</f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19"/>
        <v>Involuntary</v>
      </c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18"/>
        <v>10</v>
      </c>
      <c r="E623" s="6" t="str" cm="1">
        <f t="array" ref="E623">_xlfn.IFS(D623&lt;=5,"Newcomer",AND(D623&gt;=6,D623&lt;=10),"Proficient",D623&gt;=10,"Expert")</f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19"/>
        <v>Involuntary</v>
      </c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18"/>
        <v>26</v>
      </c>
      <c r="E624" s="6" t="str" cm="1">
        <f t="array" ref="E624">_xlfn.IFS(D624&lt;=5,"Newcomer",AND(D624&gt;=6,D624&lt;=10),"Proficient",D624&gt;=10,"Expert")</f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19"/>
        <v>Involuntary</v>
      </c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18"/>
        <v>13</v>
      </c>
      <c r="E625" s="6" t="str" cm="1">
        <f t="array" ref="E625">_xlfn.IFS(D625&lt;=5,"Newcomer",AND(D625&gt;=6,D625&lt;=10),"Proficient",D625&gt;=10,"Expert")</f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19"/>
        <v>Involuntary</v>
      </c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18"/>
        <v>10</v>
      </c>
      <c r="E626" s="6" t="str" cm="1">
        <f t="array" ref="E626">_xlfn.IFS(D626&lt;=5,"Newcomer",AND(D626&gt;=6,D626&lt;=10),"Proficient",D626&gt;=10,"Expert")</f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19"/>
        <v>Involuntary</v>
      </c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18"/>
        <v>30</v>
      </c>
      <c r="E627" s="6" t="str" cm="1">
        <f t="array" ref="E627">_xlfn.IFS(D627&lt;=5,"Newcomer",AND(D627&gt;=6,D627&lt;=10),"Proficient",D627&gt;=10,"Expert")</f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19"/>
        <v>Involuntary</v>
      </c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18"/>
        <v>12</v>
      </c>
      <c r="E628" s="6" t="str" cm="1">
        <f t="array" ref="E628">_xlfn.IFS(D628&lt;=5,"Newcomer",AND(D628&gt;=6,D628&lt;=10),"Proficient",D628&gt;=10,"Expert")</f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19"/>
        <v>Involuntary</v>
      </c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18"/>
        <v>15</v>
      </c>
      <c r="E629" s="6" t="str" cm="1">
        <f t="array" ref="E629">_xlfn.IFS(D629&lt;=5,"Newcomer",AND(D629&gt;=6,D629&lt;=10),"Proficient",D629&gt;=10,"Expert")</f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19"/>
        <v>Involuntary</v>
      </c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18"/>
        <v>7</v>
      </c>
      <c r="E630" s="6" t="str" cm="1">
        <f t="array" ref="E630">_xlfn.IFS(D630&lt;=5,"Newcomer",AND(D630&gt;=6,D630&lt;=10),"Proficient",D630&gt;=10,"Expert")</f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19"/>
        <v>Involuntary</v>
      </c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18"/>
        <v>14</v>
      </c>
      <c r="E631" s="6" t="str" cm="1">
        <f t="array" ref="E631">_xlfn.IFS(D631&lt;=5,"Newcomer",AND(D631&gt;=6,D631&lt;=10),"Proficient",D631&gt;=10,"Expert")</f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19"/>
        <v>Involuntary</v>
      </c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18"/>
        <v>19</v>
      </c>
      <c r="E632" s="6" t="str" cm="1">
        <f t="array" ref="E632">_xlfn.IFS(D632&lt;=5,"Newcomer",AND(D632&gt;=6,D632&lt;=10),"Proficient",D632&gt;=10,"Expert")</f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19"/>
        <v>Voluntary</v>
      </c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18"/>
        <v>7</v>
      </c>
      <c r="E633" s="6" t="str" cm="1">
        <f t="array" ref="E633">_xlfn.IFS(D633&lt;=5,"Newcomer",AND(D633&gt;=6,D633&lt;=10),"Proficient",D633&gt;=10,"Expert")</f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19"/>
        <v>Involuntary</v>
      </c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18"/>
        <v>20</v>
      </c>
      <c r="E634" s="6" t="str" cm="1">
        <f t="array" ref="E634">_xlfn.IFS(D634&lt;=5,"Newcomer",AND(D634&gt;=6,D634&lt;=10),"Proficient",D634&gt;=10,"Expert")</f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19"/>
        <v>Involuntary</v>
      </c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18"/>
        <v>19</v>
      </c>
      <c r="E635" s="6" t="str" cm="1">
        <f t="array" ref="E635">_xlfn.IFS(D635&lt;=5,"Newcomer",AND(D635&gt;=6,D635&lt;=10),"Proficient",D635&gt;=10,"Expert")</f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19"/>
        <v>Involuntary</v>
      </c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18"/>
        <v>21</v>
      </c>
      <c r="E636" s="6" t="str" cm="1">
        <f t="array" ref="E636">_xlfn.IFS(D636&lt;=5,"Newcomer",AND(D636&gt;=6,D636&lt;=10),"Proficient",D636&gt;=10,"Expert")</f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19"/>
        <v>Involuntary</v>
      </c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18"/>
        <v>17</v>
      </c>
      <c r="E637" s="6" t="str" cm="1">
        <f t="array" ref="E637">_xlfn.IFS(D637&lt;=5,"Newcomer",AND(D637&gt;=6,D637&lt;=10),"Proficient",D637&gt;=10,"Expert")</f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19"/>
        <v>Involuntary</v>
      </c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18"/>
        <v>26</v>
      </c>
      <c r="E638" s="6" t="str" cm="1">
        <f t="array" ref="E638">_xlfn.IFS(D638&lt;=5,"Newcomer",AND(D638&gt;=6,D638&lt;=10),"Proficient",D638&gt;=10,"Expert")</f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19"/>
        <v>Involuntary</v>
      </c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18"/>
        <v>21</v>
      </c>
      <c r="E639" s="6" t="str" cm="1">
        <f t="array" ref="E639">_xlfn.IFS(D639&lt;=5,"Newcomer",AND(D639&gt;=6,D639&lt;=10),"Proficient",D639&gt;=10,"Expert")</f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19"/>
        <v>Involuntary</v>
      </c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18"/>
        <v>26</v>
      </c>
      <c r="E640" s="6" t="str" cm="1">
        <f t="array" ref="E640">_xlfn.IFS(D640&lt;=5,"Newcomer",AND(D640&gt;=6,D640&lt;=10),"Proficient",D640&gt;=10,"Expert")</f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19"/>
        <v>Involuntary</v>
      </c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18"/>
        <v>25</v>
      </c>
      <c r="E641" s="6" t="str" cm="1">
        <f t="array" ref="E641">_xlfn.IFS(D641&lt;=5,"Newcomer",AND(D641&gt;=6,D641&lt;=10),"Proficient",D641&gt;=10,"Expert")</f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19"/>
        <v>Involuntary</v>
      </c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18"/>
        <v>13</v>
      </c>
      <c r="E642" s="6" t="str" cm="1">
        <f t="array" ref="E642">_xlfn.IFS(D642&lt;=5,"Newcomer",AND(D642&gt;=6,D642&lt;=10),"Proficient",D642&gt;=10,"Expert")</f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19"/>
        <v>Involuntary</v>
      </c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20">YEAR(C643)-YEAR(B643)</f>
        <v>24</v>
      </c>
      <c r="E643" s="6" t="str" cm="1">
        <f t="array" ref="E643">_xlfn.IFS(D643&lt;=5,"Newcomer",AND(D643&gt;=6,D643&lt;=10),"Proficient",D643&gt;=10,"Expert")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ref="M643:M706" si="21">IF(OR(L643="Retirement",L643="Resignation"),"Voluntary","Involuntary")</f>
        <v>Involuntary</v>
      </c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20"/>
        <v>25</v>
      </c>
      <c r="E644" s="6" t="str" cm="1">
        <f t="array" ref="E644">_xlfn.IFS(D644&lt;=5,"Newcomer",AND(D644&gt;=6,D644&lt;=10),"Proficient",D644&gt;=10,"Expert")</f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21"/>
        <v>Involuntary</v>
      </c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20"/>
        <v>30</v>
      </c>
      <c r="E645" s="6" t="str" cm="1">
        <f t="array" ref="E645">_xlfn.IFS(D645&lt;=5,"Newcomer",AND(D645&gt;=6,D645&lt;=10),"Proficient",D645&gt;=10,"Expert")</f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21"/>
        <v>Involuntary</v>
      </c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20"/>
        <v>17</v>
      </c>
      <c r="E646" s="6" t="str" cm="1">
        <f t="array" ref="E646">_xlfn.IFS(D646&lt;=5,"Newcomer",AND(D646&gt;=6,D646&lt;=10),"Proficient",D646&gt;=10,"Expert")</f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21"/>
        <v>Involuntary</v>
      </c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20"/>
        <v>24</v>
      </c>
      <c r="E647" s="6" t="str" cm="1">
        <f t="array" ref="E647">_xlfn.IFS(D647&lt;=5,"Newcomer",AND(D647&gt;=6,D647&lt;=10),"Proficient",D647&gt;=10,"Expert")</f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21"/>
        <v>Involuntary</v>
      </c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20"/>
        <v>25</v>
      </c>
      <c r="E648" s="6" t="str" cm="1">
        <f t="array" ref="E648">_xlfn.IFS(D648&lt;=5,"Newcomer",AND(D648&gt;=6,D648&lt;=10),"Proficient",D648&gt;=10,"Expert")</f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21"/>
        <v>Involuntary</v>
      </c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20"/>
        <v>10</v>
      </c>
      <c r="E649" s="6" t="str" cm="1">
        <f t="array" ref="E649">_xlfn.IFS(D649&lt;=5,"Newcomer",AND(D649&gt;=6,D649&lt;=10),"Proficient",D649&gt;=10,"Expert")</f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21"/>
        <v>Involuntary</v>
      </c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20"/>
        <v>11</v>
      </c>
      <c r="E650" s="6" t="str" cm="1">
        <f t="array" ref="E650">_xlfn.IFS(D650&lt;=5,"Newcomer",AND(D650&gt;=6,D650&lt;=10),"Proficient",D650&gt;=10,"Expert")</f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21"/>
        <v>Involuntary</v>
      </c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20"/>
        <v>24</v>
      </c>
      <c r="E651" s="6" t="str" cm="1">
        <f t="array" ref="E651">_xlfn.IFS(D651&lt;=5,"Newcomer",AND(D651&gt;=6,D651&lt;=10),"Proficient",D651&gt;=10,"Expert")</f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21"/>
        <v>Voluntary</v>
      </c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20"/>
        <v>20</v>
      </c>
      <c r="E652" s="6" t="str" cm="1">
        <f t="array" ref="E652">_xlfn.IFS(D652&lt;=5,"Newcomer",AND(D652&gt;=6,D652&lt;=10),"Proficient",D652&gt;=10,"Expert")</f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21"/>
        <v>Involuntary</v>
      </c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20"/>
        <v>18</v>
      </c>
      <c r="E653" s="6" t="str" cm="1">
        <f t="array" ref="E653">_xlfn.IFS(D653&lt;=5,"Newcomer",AND(D653&gt;=6,D653&lt;=10),"Proficient",D653&gt;=10,"Expert")</f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21"/>
        <v>Involuntary</v>
      </c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20"/>
        <v>7</v>
      </c>
      <c r="E654" s="6" t="str" cm="1">
        <f t="array" ref="E654">_xlfn.IFS(D654&lt;=5,"Newcomer",AND(D654&gt;=6,D654&lt;=10),"Proficient",D654&gt;=10,"Expert")</f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21"/>
        <v>Involuntary</v>
      </c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20"/>
        <v>14</v>
      </c>
      <c r="E655" s="6" t="str" cm="1">
        <f t="array" ref="E655">_xlfn.IFS(D655&lt;=5,"Newcomer",AND(D655&gt;=6,D655&lt;=10),"Proficient",D655&gt;=10,"Expert")</f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21"/>
        <v>Involuntary</v>
      </c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20"/>
        <v>20</v>
      </c>
      <c r="E656" s="6" t="str" cm="1">
        <f t="array" ref="E656">_xlfn.IFS(D656&lt;=5,"Newcomer",AND(D656&gt;=6,D656&lt;=10),"Proficient",D656&gt;=10,"Expert")</f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21"/>
        <v>Involuntary</v>
      </c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20"/>
        <v>29</v>
      </c>
      <c r="E657" s="6" t="str" cm="1">
        <f t="array" ref="E657">_xlfn.IFS(D657&lt;=5,"Newcomer",AND(D657&gt;=6,D657&lt;=10),"Proficient",D657&gt;=10,"Expert")</f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21"/>
        <v>Involuntary</v>
      </c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20"/>
        <v>7</v>
      </c>
      <c r="E658" s="6" t="str" cm="1">
        <f t="array" ref="E658">_xlfn.IFS(D658&lt;=5,"Newcomer",AND(D658&gt;=6,D658&lt;=10),"Proficient",D658&gt;=10,"Expert")</f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21"/>
        <v>Involuntary</v>
      </c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20"/>
        <v>21</v>
      </c>
      <c r="E659" s="6" t="str" cm="1">
        <f t="array" ref="E659">_xlfn.IFS(D659&lt;=5,"Newcomer",AND(D659&gt;=6,D659&lt;=10),"Proficient",D659&gt;=10,"Expert")</f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21"/>
        <v>Involuntary</v>
      </c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20"/>
        <v>23</v>
      </c>
      <c r="E660" s="6" t="str" cm="1">
        <f t="array" ref="E660">_xlfn.IFS(D660&lt;=5,"Newcomer",AND(D660&gt;=6,D660&lt;=10),"Proficient",D660&gt;=10,"Expert")</f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21"/>
        <v>Involuntary</v>
      </c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20"/>
        <v>11</v>
      </c>
      <c r="E661" s="6" t="str" cm="1">
        <f t="array" ref="E661">_xlfn.IFS(D661&lt;=5,"Newcomer",AND(D661&gt;=6,D661&lt;=10),"Proficient",D661&gt;=10,"Expert")</f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21"/>
        <v>Involuntary</v>
      </c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20"/>
        <v>8</v>
      </c>
      <c r="E662" s="6" t="str" cm="1">
        <f t="array" ref="E662">_xlfn.IFS(D662&lt;=5,"Newcomer",AND(D662&gt;=6,D662&lt;=10),"Proficient",D662&gt;=10,"Expert")</f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21"/>
        <v>Involuntary</v>
      </c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20"/>
        <v>8</v>
      </c>
      <c r="E663" s="6" t="str" cm="1">
        <f t="array" ref="E663">_xlfn.IFS(D663&lt;=5,"Newcomer",AND(D663&gt;=6,D663&lt;=10),"Proficient",D663&gt;=10,"Expert")</f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21"/>
        <v>Involuntary</v>
      </c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20"/>
        <v>6</v>
      </c>
      <c r="E664" s="6" t="str" cm="1">
        <f t="array" ref="E664">_xlfn.IFS(D664&lt;=5,"Newcomer",AND(D664&gt;=6,D664&lt;=10),"Proficient",D664&gt;=10,"Expert")</f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21"/>
        <v>Involuntary</v>
      </c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20"/>
        <v>11</v>
      </c>
      <c r="E665" s="6" t="str" cm="1">
        <f t="array" ref="E665">_xlfn.IFS(D665&lt;=5,"Newcomer",AND(D665&gt;=6,D665&lt;=10),"Proficient",D665&gt;=10,"Expert")</f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21"/>
        <v>Involuntary</v>
      </c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20"/>
        <v>19</v>
      </c>
      <c r="E666" s="6" t="str" cm="1">
        <f t="array" ref="E666">_xlfn.IFS(D666&lt;=5,"Newcomer",AND(D666&gt;=6,D666&lt;=10),"Proficient",D666&gt;=10,"Expert")</f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21"/>
        <v>Voluntary</v>
      </c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20"/>
        <v>12</v>
      </c>
      <c r="E667" s="6" t="str" cm="1">
        <f t="array" ref="E667">_xlfn.IFS(D667&lt;=5,"Newcomer",AND(D667&gt;=6,D667&lt;=10),"Proficient",D667&gt;=10,"Expert")</f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21"/>
        <v>Involuntary</v>
      </c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20"/>
        <v>22</v>
      </c>
      <c r="E668" s="6" t="str" cm="1">
        <f t="array" ref="E668">_xlfn.IFS(D668&lt;=5,"Newcomer",AND(D668&gt;=6,D668&lt;=10),"Proficient",D668&gt;=10,"Expert")</f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21"/>
        <v>Involuntary</v>
      </c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20"/>
        <v>29</v>
      </c>
      <c r="E669" s="6" t="str" cm="1">
        <f t="array" ref="E669">_xlfn.IFS(D669&lt;=5,"Newcomer",AND(D669&gt;=6,D669&lt;=10),"Proficient",D669&gt;=10,"Expert")</f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21"/>
        <v>Involuntary</v>
      </c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20"/>
        <v>6</v>
      </c>
      <c r="E670" s="6" t="str" cm="1">
        <f t="array" ref="E670">_xlfn.IFS(D670&lt;=5,"Newcomer",AND(D670&gt;=6,D670&lt;=10),"Proficient",D670&gt;=10,"Expert")</f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21"/>
        <v>Involuntary</v>
      </c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20"/>
        <v>30</v>
      </c>
      <c r="E671" s="6" t="str" cm="1">
        <f t="array" ref="E671">_xlfn.IFS(D671&lt;=5,"Newcomer",AND(D671&gt;=6,D671&lt;=10),"Proficient",D671&gt;=10,"Expert")</f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21"/>
        <v>Involuntary</v>
      </c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20"/>
        <v>29</v>
      </c>
      <c r="E672" s="6" t="str" cm="1">
        <f t="array" ref="E672">_xlfn.IFS(D672&lt;=5,"Newcomer",AND(D672&gt;=6,D672&lt;=10),"Proficient",D672&gt;=10,"Expert")</f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21"/>
        <v>Voluntary</v>
      </c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20"/>
        <v>15</v>
      </c>
      <c r="E673" s="6" t="str" cm="1">
        <f t="array" ref="E673">_xlfn.IFS(D673&lt;=5,"Newcomer",AND(D673&gt;=6,D673&lt;=10),"Proficient",D673&gt;=10,"Expert")</f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21"/>
        <v>Involuntary</v>
      </c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20"/>
        <v>18</v>
      </c>
      <c r="E674" s="6" t="str" cm="1">
        <f t="array" ref="E674">_xlfn.IFS(D674&lt;=5,"Newcomer",AND(D674&gt;=6,D674&lt;=10),"Proficient",D674&gt;=10,"Expert")</f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21"/>
        <v>Involuntary</v>
      </c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20"/>
        <v>19</v>
      </c>
      <c r="E675" s="6" t="str" cm="1">
        <f t="array" ref="E675">_xlfn.IFS(D675&lt;=5,"Newcomer",AND(D675&gt;=6,D675&lt;=10),"Proficient",D675&gt;=10,"Expert")</f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21"/>
        <v>Involuntary</v>
      </c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20"/>
        <v>21</v>
      </c>
      <c r="E676" s="6" t="str" cm="1">
        <f t="array" ref="E676">_xlfn.IFS(D676&lt;=5,"Newcomer",AND(D676&gt;=6,D676&lt;=10),"Proficient",D676&gt;=10,"Expert")</f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21"/>
        <v>Involuntary</v>
      </c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20"/>
        <v>28</v>
      </c>
      <c r="E677" s="6" t="str" cm="1">
        <f t="array" ref="E677">_xlfn.IFS(D677&lt;=5,"Newcomer",AND(D677&gt;=6,D677&lt;=10),"Proficient",D677&gt;=10,"Expert")</f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21"/>
        <v>Involuntary</v>
      </c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20"/>
        <v>22</v>
      </c>
      <c r="E678" s="6" t="str" cm="1">
        <f t="array" ref="E678">_xlfn.IFS(D678&lt;=5,"Newcomer",AND(D678&gt;=6,D678&lt;=10),"Proficient",D678&gt;=10,"Expert")</f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21"/>
        <v>Involuntary</v>
      </c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20"/>
        <v>17</v>
      </c>
      <c r="E679" s="6" t="str" cm="1">
        <f t="array" ref="E679">_xlfn.IFS(D679&lt;=5,"Newcomer",AND(D679&gt;=6,D679&lt;=10),"Proficient",D679&gt;=10,"Expert")</f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21"/>
        <v>Involuntary</v>
      </c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20"/>
        <v>15</v>
      </c>
      <c r="E680" s="6" t="str" cm="1">
        <f t="array" ref="E680">_xlfn.IFS(D680&lt;=5,"Newcomer",AND(D680&gt;=6,D680&lt;=10),"Proficient",D680&gt;=10,"Expert")</f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21"/>
        <v>Involuntary</v>
      </c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20"/>
        <v>7</v>
      </c>
      <c r="E681" s="6" t="str" cm="1">
        <f t="array" ref="E681">_xlfn.IFS(D681&lt;=5,"Newcomer",AND(D681&gt;=6,D681&lt;=10),"Proficient",D681&gt;=10,"Expert")</f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21"/>
        <v>Involuntary</v>
      </c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20"/>
        <v>15</v>
      </c>
      <c r="E682" s="6" t="str" cm="1">
        <f t="array" ref="E682">_xlfn.IFS(D682&lt;=5,"Newcomer",AND(D682&gt;=6,D682&lt;=10),"Proficient",D682&gt;=10,"Expert")</f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21"/>
        <v>Involuntary</v>
      </c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20"/>
        <v>26</v>
      </c>
      <c r="E683" s="6" t="str" cm="1">
        <f t="array" ref="E683">_xlfn.IFS(D683&lt;=5,"Newcomer",AND(D683&gt;=6,D683&lt;=10),"Proficient",D683&gt;=10,"Expert")</f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21"/>
        <v>Involuntary</v>
      </c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20"/>
        <v>18</v>
      </c>
      <c r="E684" s="6" t="str" cm="1">
        <f t="array" ref="E684">_xlfn.IFS(D684&lt;=5,"Newcomer",AND(D684&gt;=6,D684&lt;=10),"Proficient",D684&gt;=10,"Expert")</f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21"/>
        <v>Involuntary</v>
      </c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20"/>
        <v>24</v>
      </c>
      <c r="E685" s="6" t="str" cm="1">
        <f t="array" ref="E685">_xlfn.IFS(D685&lt;=5,"Newcomer",AND(D685&gt;=6,D685&lt;=10),"Proficient",D685&gt;=10,"Expert")</f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21"/>
        <v>Involuntary</v>
      </c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20"/>
        <v>27</v>
      </c>
      <c r="E686" s="6" t="str" cm="1">
        <f t="array" ref="E686">_xlfn.IFS(D686&lt;=5,"Newcomer",AND(D686&gt;=6,D686&lt;=10),"Proficient",D686&gt;=10,"Expert")</f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21"/>
        <v>Voluntary</v>
      </c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20"/>
        <v>9</v>
      </c>
      <c r="E687" s="6" t="str" cm="1">
        <f t="array" ref="E687">_xlfn.IFS(D687&lt;=5,"Newcomer",AND(D687&gt;=6,D687&lt;=10),"Proficient",D687&gt;=10,"Expert")</f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21"/>
        <v>Voluntary</v>
      </c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20"/>
        <v>18</v>
      </c>
      <c r="E688" s="6" t="str" cm="1">
        <f t="array" ref="E688">_xlfn.IFS(D688&lt;=5,"Newcomer",AND(D688&gt;=6,D688&lt;=10),"Proficient",D688&gt;=10,"Expert")</f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21"/>
        <v>Involuntary</v>
      </c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20"/>
        <v>30</v>
      </c>
      <c r="E689" s="6" t="str" cm="1">
        <f t="array" ref="E689">_xlfn.IFS(D689&lt;=5,"Newcomer",AND(D689&gt;=6,D689&lt;=10),"Proficient",D689&gt;=10,"Expert")</f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21"/>
        <v>Involuntary</v>
      </c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20"/>
        <v>7</v>
      </c>
      <c r="E690" s="6" t="str" cm="1">
        <f t="array" ref="E690">_xlfn.IFS(D690&lt;=5,"Newcomer",AND(D690&gt;=6,D690&lt;=10),"Proficient",D690&gt;=10,"Expert")</f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21"/>
        <v>Involuntary</v>
      </c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20"/>
        <v>22</v>
      </c>
      <c r="E691" s="6" t="str" cm="1">
        <f t="array" ref="E691">_xlfn.IFS(D691&lt;=5,"Newcomer",AND(D691&gt;=6,D691&lt;=10),"Proficient",D691&gt;=10,"Expert")</f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21"/>
        <v>Involuntary</v>
      </c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20"/>
        <v>13</v>
      </c>
      <c r="E692" s="6" t="str" cm="1">
        <f t="array" ref="E692">_xlfn.IFS(D692&lt;=5,"Newcomer",AND(D692&gt;=6,D692&lt;=10),"Proficient",D692&gt;=10,"Expert")</f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21"/>
        <v>Involuntary</v>
      </c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20"/>
        <v>14</v>
      </c>
      <c r="E693" s="6" t="str" cm="1">
        <f t="array" ref="E693">_xlfn.IFS(D693&lt;=5,"Newcomer",AND(D693&gt;=6,D693&lt;=10),"Proficient",D693&gt;=10,"Expert")</f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21"/>
        <v>Involuntary</v>
      </c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20"/>
        <v>28</v>
      </c>
      <c r="E694" s="6" t="str" cm="1">
        <f t="array" ref="E694">_xlfn.IFS(D694&lt;=5,"Newcomer",AND(D694&gt;=6,D694&lt;=10),"Proficient",D694&gt;=10,"Expert")</f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21"/>
        <v>Involuntary</v>
      </c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20"/>
        <v>22</v>
      </c>
      <c r="E695" s="6" t="str" cm="1">
        <f t="array" ref="E695">_xlfn.IFS(D695&lt;=5,"Newcomer",AND(D695&gt;=6,D695&lt;=10),"Proficient",D695&gt;=10,"Expert")</f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21"/>
        <v>Involuntary</v>
      </c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20"/>
        <v>7</v>
      </c>
      <c r="E696" s="6" t="str" cm="1">
        <f t="array" ref="E696">_xlfn.IFS(D696&lt;=5,"Newcomer",AND(D696&gt;=6,D696&lt;=10),"Proficient",D696&gt;=10,"Expert")</f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21"/>
        <v>Involuntary</v>
      </c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20"/>
        <v>30</v>
      </c>
      <c r="E697" s="6" t="str" cm="1">
        <f t="array" ref="E697">_xlfn.IFS(D697&lt;=5,"Newcomer",AND(D697&gt;=6,D697&lt;=10),"Proficient",D697&gt;=10,"Expert")</f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21"/>
        <v>Involuntary</v>
      </c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20"/>
        <v>14</v>
      </c>
      <c r="E698" s="6" t="str" cm="1">
        <f t="array" ref="E698">_xlfn.IFS(D698&lt;=5,"Newcomer",AND(D698&gt;=6,D698&lt;=10),"Proficient",D698&gt;=10,"Expert")</f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21"/>
        <v>Involuntary</v>
      </c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20"/>
        <v>9</v>
      </c>
      <c r="E699" s="6" t="str" cm="1">
        <f t="array" ref="E699">_xlfn.IFS(D699&lt;=5,"Newcomer",AND(D699&gt;=6,D699&lt;=10),"Proficient",D699&gt;=10,"Expert")</f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21"/>
        <v>Involuntary</v>
      </c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20"/>
        <v>20</v>
      </c>
      <c r="E700" s="6" t="str" cm="1">
        <f t="array" ref="E700">_xlfn.IFS(D700&lt;=5,"Newcomer",AND(D700&gt;=6,D700&lt;=10),"Proficient",D700&gt;=10,"Expert")</f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21"/>
        <v>Involuntary</v>
      </c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20"/>
        <v>24</v>
      </c>
      <c r="E701" s="6" t="str" cm="1">
        <f t="array" ref="E701">_xlfn.IFS(D701&lt;=5,"Newcomer",AND(D701&gt;=6,D701&lt;=10),"Proficient",D701&gt;=10,"Expert")</f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21"/>
        <v>Involuntary</v>
      </c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20"/>
        <v>14</v>
      </c>
      <c r="E702" s="6" t="str" cm="1">
        <f t="array" ref="E702">_xlfn.IFS(D702&lt;=5,"Newcomer",AND(D702&gt;=6,D702&lt;=10),"Proficient",D702&gt;=10,"Expert")</f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21"/>
        <v>Voluntary</v>
      </c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20"/>
        <v>30</v>
      </c>
      <c r="E703" s="6" t="str" cm="1">
        <f t="array" ref="E703">_xlfn.IFS(D703&lt;=5,"Newcomer",AND(D703&gt;=6,D703&lt;=10),"Proficient",D703&gt;=10,"Expert")</f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21"/>
        <v>Involuntary</v>
      </c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20"/>
        <v>17</v>
      </c>
      <c r="E704" s="6" t="str" cm="1">
        <f t="array" ref="E704">_xlfn.IFS(D704&lt;=5,"Newcomer",AND(D704&gt;=6,D704&lt;=10),"Proficient",D704&gt;=10,"Expert")</f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21"/>
        <v>Involuntary</v>
      </c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20"/>
        <v>7</v>
      </c>
      <c r="E705" s="6" t="str" cm="1">
        <f t="array" ref="E705">_xlfn.IFS(D705&lt;=5,"Newcomer",AND(D705&gt;=6,D705&lt;=10),"Proficient",D705&gt;=10,"Expert")</f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21"/>
        <v>Involuntary</v>
      </c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20"/>
        <v>21</v>
      </c>
      <c r="E706" s="6" t="str" cm="1">
        <f t="array" ref="E706">_xlfn.IFS(D706&lt;=5,"Newcomer",AND(D706&gt;=6,D706&lt;=10),"Proficient",D706&gt;=10,"Expert")</f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21"/>
        <v>Involuntary</v>
      </c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22">YEAR(C707)-YEAR(B707)</f>
        <v>23</v>
      </c>
      <c r="E707" s="6" t="str" cm="1">
        <f t="array" ref="E707">_xlfn.IFS(D707&lt;=5,"Newcomer",AND(D707&gt;=6,D707&lt;=10),"Proficient",D707&gt;=10,"Expert")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ref="M707:M770" si="23">IF(OR(L707="Retirement",L707="Resignation"),"Voluntary","Involuntary")</f>
        <v>Involuntary</v>
      </c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22"/>
        <v>6</v>
      </c>
      <c r="E708" s="6" t="str" cm="1">
        <f t="array" ref="E708">_xlfn.IFS(D708&lt;=5,"Newcomer",AND(D708&gt;=6,D708&lt;=10),"Proficient",D708&gt;=10,"Expert")</f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23"/>
        <v>Involuntary</v>
      </c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22"/>
        <v>8</v>
      </c>
      <c r="E709" s="6" t="str" cm="1">
        <f t="array" ref="E709">_xlfn.IFS(D709&lt;=5,"Newcomer",AND(D709&gt;=6,D709&lt;=10),"Proficient",D709&gt;=10,"Expert")</f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23"/>
        <v>Involuntary</v>
      </c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22"/>
        <v>24</v>
      </c>
      <c r="E710" s="6" t="str" cm="1">
        <f t="array" ref="E710">_xlfn.IFS(D710&lt;=5,"Newcomer",AND(D710&gt;=6,D710&lt;=10),"Proficient",D710&gt;=10,"Expert")</f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23"/>
        <v>Voluntary</v>
      </c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22"/>
        <v>11</v>
      </c>
      <c r="E711" s="6" t="str" cm="1">
        <f t="array" ref="E711">_xlfn.IFS(D711&lt;=5,"Newcomer",AND(D711&gt;=6,D711&lt;=10),"Proficient",D711&gt;=10,"Expert")</f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23"/>
        <v>Involuntary</v>
      </c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22"/>
        <v>7</v>
      </c>
      <c r="E712" s="6" t="str" cm="1">
        <f t="array" ref="E712">_xlfn.IFS(D712&lt;=5,"Newcomer",AND(D712&gt;=6,D712&lt;=10),"Proficient",D712&gt;=10,"Expert")</f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23"/>
        <v>Involuntary</v>
      </c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22"/>
        <v>12</v>
      </c>
      <c r="E713" s="6" t="str" cm="1">
        <f t="array" ref="E713">_xlfn.IFS(D713&lt;=5,"Newcomer",AND(D713&gt;=6,D713&lt;=10),"Proficient",D713&gt;=10,"Expert")</f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23"/>
        <v>Voluntary</v>
      </c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22"/>
        <v>7</v>
      </c>
      <c r="E714" s="6" t="str" cm="1">
        <f t="array" ref="E714">_xlfn.IFS(D714&lt;=5,"Newcomer",AND(D714&gt;=6,D714&lt;=10),"Proficient",D714&gt;=10,"Expert")</f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23"/>
        <v>Involuntary</v>
      </c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22"/>
        <v>23</v>
      </c>
      <c r="E715" s="6" t="str" cm="1">
        <f t="array" ref="E715">_xlfn.IFS(D715&lt;=5,"Newcomer",AND(D715&gt;=6,D715&lt;=10),"Proficient",D715&gt;=10,"Expert")</f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23"/>
        <v>Involuntary</v>
      </c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22"/>
        <v>17</v>
      </c>
      <c r="E716" s="6" t="str" cm="1">
        <f t="array" ref="E716">_xlfn.IFS(D716&lt;=5,"Newcomer",AND(D716&gt;=6,D716&lt;=10),"Proficient",D716&gt;=10,"Expert")</f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23"/>
        <v>Involuntary</v>
      </c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22"/>
        <v>15</v>
      </c>
      <c r="E717" s="6" t="str" cm="1">
        <f t="array" ref="E717">_xlfn.IFS(D717&lt;=5,"Newcomer",AND(D717&gt;=6,D717&lt;=10),"Proficient",D717&gt;=10,"Expert")</f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23"/>
        <v>Involuntary</v>
      </c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22"/>
        <v>9</v>
      </c>
      <c r="E718" s="6" t="str" cm="1">
        <f t="array" ref="E718">_xlfn.IFS(D718&lt;=5,"Newcomer",AND(D718&gt;=6,D718&lt;=10),"Proficient",D718&gt;=10,"Expert")</f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23"/>
        <v>Involuntary</v>
      </c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22"/>
        <v>24</v>
      </c>
      <c r="E719" s="6" t="str" cm="1">
        <f t="array" ref="E719">_xlfn.IFS(D719&lt;=5,"Newcomer",AND(D719&gt;=6,D719&lt;=10),"Proficient",D719&gt;=10,"Expert")</f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23"/>
        <v>Involuntary</v>
      </c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22"/>
        <v>19</v>
      </c>
      <c r="E720" s="6" t="str" cm="1">
        <f t="array" ref="E720">_xlfn.IFS(D720&lt;=5,"Newcomer",AND(D720&gt;=6,D720&lt;=10),"Proficient",D720&gt;=10,"Expert")</f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23"/>
        <v>Involuntary</v>
      </c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22"/>
        <v>15</v>
      </c>
      <c r="E721" s="6" t="str" cm="1">
        <f t="array" ref="E721">_xlfn.IFS(D721&lt;=5,"Newcomer",AND(D721&gt;=6,D721&lt;=10),"Proficient",D721&gt;=10,"Expert")</f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23"/>
        <v>Involuntary</v>
      </c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22"/>
        <v>16</v>
      </c>
      <c r="E722" s="6" t="str" cm="1">
        <f t="array" ref="E722">_xlfn.IFS(D722&lt;=5,"Newcomer",AND(D722&gt;=6,D722&lt;=10),"Proficient",D722&gt;=10,"Expert")</f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23"/>
        <v>Involuntary</v>
      </c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22"/>
        <v>27</v>
      </c>
      <c r="E723" s="6" t="str" cm="1">
        <f t="array" ref="E723">_xlfn.IFS(D723&lt;=5,"Newcomer",AND(D723&gt;=6,D723&lt;=10),"Proficient",D723&gt;=10,"Expert")</f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23"/>
        <v>Involuntary</v>
      </c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22"/>
        <v>5</v>
      </c>
      <c r="E724" s="6" t="str" cm="1">
        <f t="array" ref="E724">_xlfn.IFS(D724&lt;=5,"Newcomer",AND(D724&gt;=6,D724&lt;=10),"Proficient",D724&gt;=10,"Expert")</f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23"/>
        <v>Involuntary</v>
      </c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22"/>
        <v>25</v>
      </c>
      <c r="E725" s="6" t="str" cm="1">
        <f t="array" ref="E725">_xlfn.IFS(D725&lt;=5,"Newcomer",AND(D725&gt;=6,D725&lt;=10),"Proficient",D725&gt;=10,"Expert")</f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23"/>
        <v>Involuntary</v>
      </c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22"/>
        <v>13</v>
      </c>
      <c r="E726" s="6" t="str" cm="1">
        <f t="array" ref="E726">_xlfn.IFS(D726&lt;=5,"Newcomer",AND(D726&gt;=6,D726&lt;=10),"Proficient",D726&gt;=10,"Expert")</f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23"/>
        <v>Involuntary</v>
      </c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22"/>
        <v>17</v>
      </c>
      <c r="E727" s="6" t="str" cm="1">
        <f t="array" ref="E727">_xlfn.IFS(D727&lt;=5,"Newcomer",AND(D727&gt;=6,D727&lt;=10),"Proficient",D727&gt;=10,"Expert")</f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23"/>
        <v>Involuntary</v>
      </c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22"/>
        <v>24</v>
      </c>
      <c r="E728" s="6" t="str" cm="1">
        <f t="array" ref="E728">_xlfn.IFS(D728&lt;=5,"Newcomer",AND(D728&gt;=6,D728&lt;=10),"Proficient",D728&gt;=10,"Expert")</f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23"/>
        <v>Involuntary</v>
      </c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22"/>
        <v>21</v>
      </c>
      <c r="E729" s="6" t="str" cm="1">
        <f t="array" ref="E729">_xlfn.IFS(D729&lt;=5,"Newcomer",AND(D729&gt;=6,D729&lt;=10),"Proficient",D729&gt;=10,"Expert")</f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23"/>
        <v>Involuntary</v>
      </c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22"/>
        <v>15</v>
      </c>
      <c r="E730" s="6" t="str" cm="1">
        <f t="array" ref="E730">_xlfn.IFS(D730&lt;=5,"Newcomer",AND(D730&gt;=6,D730&lt;=10),"Proficient",D730&gt;=10,"Expert")</f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23"/>
        <v>Involuntary</v>
      </c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22"/>
        <v>21</v>
      </c>
      <c r="E731" s="6" t="str" cm="1">
        <f t="array" ref="E731">_xlfn.IFS(D731&lt;=5,"Newcomer",AND(D731&gt;=6,D731&lt;=10),"Proficient",D731&gt;=10,"Expert")</f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23"/>
        <v>Involuntary</v>
      </c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22"/>
        <v>28</v>
      </c>
      <c r="E732" s="6" t="str" cm="1">
        <f t="array" ref="E732">_xlfn.IFS(D732&lt;=5,"Newcomer",AND(D732&gt;=6,D732&lt;=10),"Proficient",D732&gt;=10,"Expert")</f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23"/>
        <v>Involuntary</v>
      </c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22"/>
        <v>8</v>
      </c>
      <c r="E733" s="6" t="str" cm="1">
        <f t="array" ref="E733">_xlfn.IFS(D733&lt;=5,"Newcomer",AND(D733&gt;=6,D733&lt;=10),"Proficient",D733&gt;=10,"Expert")</f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23"/>
        <v>Involuntary</v>
      </c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22"/>
        <v>18</v>
      </c>
      <c r="E734" s="6" t="str" cm="1">
        <f t="array" ref="E734">_xlfn.IFS(D734&lt;=5,"Newcomer",AND(D734&gt;=6,D734&lt;=10),"Proficient",D734&gt;=10,"Expert")</f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23"/>
        <v>Involuntary</v>
      </c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22"/>
        <v>20</v>
      </c>
      <c r="E735" s="6" t="str" cm="1">
        <f t="array" ref="E735">_xlfn.IFS(D735&lt;=5,"Newcomer",AND(D735&gt;=6,D735&lt;=10),"Proficient",D735&gt;=10,"Expert")</f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23"/>
        <v>Involuntary</v>
      </c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22"/>
        <v>11</v>
      </c>
      <c r="E736" s="6" t="str" cm="1">
        <f t="array" ref="E736">_xlfn.IFS(D736&lt;=5,"Newcomer",AND(D736&gt;=6,D736&lt;=10),"Proficient",D736&gt;=10,"Expert")</f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23"/>
        <v>Involuntary</v>
      </c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22"/>
        <v>15</v>
      </c>
      <c r="E737" s="6" t="str" cm="1">
        <f t="array" ref="E737">_xlfn.IFS(D737&lt;=5,"Newcomer",AND(D737&gt;=6,D737&lt;=10),"Proficient",D737&gt;=10,"Expert")</f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23"/>
        <v>Involuntary</v>
      </c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22"/>
        <v>17</v>
      </c>
      <c r="E738" s="6" t="str" cm="1">
        <f t="array" ref="E738">_xlfn.IFS(D738&lt;=5,"Newcomer",AND(D738&gt;=6,D738&lt;=10),"Proficient",D738&gt;=10,"Expert")</f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23"/>
        <v>Voluntary</v>
      </c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22"/>
        <v>23</v>
      </c>
      <c r="E739" s="6" t="str" cm="1">
        <f t="array" ref="E739">_xlfn.IFS(D739&lt;=5,"Newcomer",AND(D739&gt;=6,D739&lt;=10),"Proficient",D739&gt;=10,"Expert")</f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23"/>
        <v>Involuntary</v>
      </c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22"/>
        <v>20</v>
      </c>
      <c r="E740" s="6" t="str" cm="1">
        <f t="array" ref="E740">_xlfn.IFS(D740&lt;=5,"Newcomer",AND(D740&gt;=6,D740&lt;=10),"Proficient",D740&gt;=10,"Expert")</f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23"/>
        <v>Involuntary</v>
      </c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22"/>
        <v>28</v>
      </c>
      <c r="E741" s="6" t="str" cm="1">
        <f t="array" ref="E741">_xlfn.IFS(D741&lt;=5,"Newcomer",AND(D741&gt;=6,D741&lt;=10),"Proficient",D741&gt;=10,"Expert")</f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23"/>
        <v>Involuntary</v>
      </c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22"/>
        <v>24</v>
      </c>
      <c r="E742" s="6" t="str" cm="1">
        <f t="array" ref="E742">_xlfn.IFS(D742&lt;=5,"Newcomer",AND(D742&gt;=6,D742&lt;=10),"Proficient",D742&gt;=10,"Expert")</f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23"/>
        <v>Involuntary</v>
      </c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22"/>
        <v>28</v>
      </c>
      <c r="E743" s="6" t="str" cm="1">
        <f t="array" ref="E743">_xlfn.IFS(D743&lt;=5,"Newcomer",AND(D743&gt;=6,D743&lt;=10),"Proficient",D743&gt;=10,"Expert")</f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23"/>
        <v>Involuntary</v>
      </c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22"/>
        <v>27</v>
      </c>
      <c r="E744" s="6" t="str" cm="1">
        <f t="array" ref="E744">_xlfn.IFS(D744&lt;=5,"Newcomer",AND(D744&gt;=6,D744&lt;=10),"Proficient",D744&gt;=10,"Expert")</f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23"/>
        <v>Involuntary</v>
      </c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22"/>
        <v>27</v>
      </c>
      <c r="E745" s="6" t="str" cm="1">
        <f t="array" ref="E745">_xlfn.IFS(D745&lt;=5,"Newcomer",AND(D745&gt;=6,D745&lt;=10),"Proficient",D745&gt;=10,"Expert")</f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23"/>
        <v>Involuntary</v>
      </c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22"/>
        <v>17</v>
      </c>
      <c r="E746" s="6" t="str" cm="1">
        <f t="array" ref="E746">_xlfn.IFS(D746&lt;=5,"Newcomer",AND(D746&gt;=6,D746&lt;=10),"Proficient",D746&gt;=10,"Expert")</f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23"/>
        <v>Involuntary</v>
      </c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22"/>
        <v>26</v>
      </c>
      <c r="E747" s="6" t="str" cm="1">
        <f t="array" ref="E747">_xlfn.IFS(D747&lt;=5,"Newcomer",AND(D747&gt;=6,D747&lt;=10),"Proficient",D747&gt;=10,"Expert")</f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23"/>
        <v>Involuntary</v>
      </c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22"/>
        <v>18</v>
      </c>
      <c r="E748" s="6" t="str" cm="1">
        <f t="array" ref="E748">_xlfn.IFS(D748&lt;=5,"Newcomer",AND(D748&gt;=6,D748&lt;=10),"Proficient",D748&gt;=10,"Expert")</f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23"/>
        <v>Involuntary</v>
      </c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22"/>
        <v>29</v>
      </c>
      <c r="E749" s="6" t="str" cm="1">
        <f t="array" ref="E749">_xlfn.IFS(D749&lt;=5,"Newcomer",AND(D749&gt;=6,D749&lt;=10),"Proficient",D749&gt;=10,"Expert")</f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23"/>
        <v>Involuntary</v>
      </c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22"/>
        <v>16</v>
      </c>
      <c r="E750" s="6" t="str" cm="1">
        <f t="array" ref="E750">_xlfn.IFS(D750&lt;=5,"Newcomer",AND(D750&gt;=6,D750&lt;=10),"Proficient",D750&gt;=10,"Expert")</f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23"/>
        <v>Involuntary</v>
      </c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22"/>
        <v>22</v>
      </c>
      <c r="E751" s="6" t="str" cm="1">
        <f t="array" ref="E751">_xlfn.IFS(D751&lt;=5,"Newcomer",AND(D751&gt;=6,D751&lt;=10),"Proficient",D751&gt;=10,"Expert")</f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23"/>
        <v>Involuntary</v>
      </c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22"/>
        <v>7</v>
      </c>
      <c r="E752" s="6" t="str" cm="1">
        <f t="array" ref="E752">_xlfn.IFS(D752&lt;=5,"Newcomer",AND(D752&gt;=6,D752&lt;=10),"Proficient",D752&gt;=10,"Expert")</f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23"/>
        <v>Involuntary</v>
      </c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22"/>
        <v>14</v>
      </c>
      <c r="E753" s="6" t="str" cm="1">
        <f t="array" ref="E753">_xlfn.IFS(D753&lt;=5,"Newcomer",AND(D753&gt;=6,D753&lt;=10),"Proficient",D753&gt;=10,"Expert")</f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23"/>
        <v>Involuntary</v>
      </c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22"/>
        <v>18</v>
      </c>
      <c r="E754" s="6" t="str" cm="1">
        <f t="array" ref="E754">_xlfn.IFS(D754&lt;=5,"Newcomer",AND(D754&gt;=6,D754&lt;=10),"Proficient",D754&gt;=10,"Expert")</f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23"/>
        <v>Involuntary</v>
      </c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22"/>
        <v>13</v>
      </c>
      <c r="E755" s="6" t="str" cm="1">
        <f t="array" ref="E755">_xlfn.IFS(D755&lt;=5,"Newcomer",AND(D755&gt;=6,D755&lt;=10),"Proficient",D755&gt;=10,"Expert")</f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23"/>
        <v>Voluntary</v>
      </c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22"/>
        <v>22</v>
      </c>
      <c r="E756" s="6" t="str" cm="1">
        <f t="array" ref="E756">_xlfn.IFS(D756&lt;=5,"Newcomer",AND(D756&gt;=6,D756&lt;=10),"Proficient",D756&gt;=10,"Expert")</f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23"/>
        <v>Involuntary</v>
      </c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22"/>
        <v>6</v>
      </c>
      <c r="E757" s="6" t="str" cm="1">
        <f t="array" ref="E757">_xlfn.IFS(D757&lt;=5,"Newcomer",AND(D757&gt;=6,D757&lt;=10),"Proficient",D757&gt;=10,"Expert")</f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23"/>
        <v>Involuntary</v>
      </c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22"/>
        <v>20</v>
      </c>
      <c r="E758" s="6" t="str" cm="1">
        <f t="array" ref="E758">_xlfn.IFS(D758&lt;=5,"Newcomer",AND(D758&gt;=6,D758&lt;=10),"Proficient",D758&gt;=10,"Expert")</f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23"/>
        <v>Involuntary</v>
      </c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22"/>
        <v>9</v>
      </c>
      <c r="E759" s="6" t="str" cm="1">
        <f t="array" ref="E759">_xlfn.IFS(D759&lt;=5,"Newcomer",AND(D759&gt;=6,D759&lt;=10),"Proficient",D759&gt;=10,"Expert")</f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23"/>
        <v>Involuntary</v>
      </c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22"/>
        <v>28</v>
      </c>
      <c r="E760" s="6" t="str" cm="1">
        <f t="array" ref="E760">_xlfn.IFS(D760&lt;=5,"Newcomer",AND(D760&gt;=6,D760&lt;=10),"Proficient",D760&gt;=10,"Expert")</f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23"/>
        <v>Involuntary</v>
      </c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22"/>
        <v>25</v>
      </c>
      <c r="E761" s="6" t="str" cm="1">
        <f t="array" ref="E761">_xlfn.IFS(D761&lt;=5,"Newcomer",AND(D761&gt;=6,D761&lt;=10),"Proficient",D761&gt;=10,"Expert")</f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23"/>
        <v>Involuntary</v>
      </c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22"/>
        <v>17</v>
      </c>
      <c r="E762" s="6" t="str" cm="1">
        <f t="array" ref="E762">_xlfn.IFS(D762&lt;=5,"Newcomer",AND(D762&gt;=6,D762&lt;=10),"Proficient",D762&gt;=10,"Expert")</f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23"/>
        <v>Involuntary</v>
      </c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22"/>
        <v>8</v>
      </c>
      <c r="E763" s="6" t="str" cm="1">
        <f t="array" ref="E763">_xlfn.IFS(D763&lt;=5,"Newcomer",AND(D763&gt;=6,D763&lt;=10),"Proficient",D763&gt;=10,"Expert")</f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23"/>
        <v>Involuntary</v>
      </c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22"/>
        <v>7</v>
      </c>
      <c r="E764" s="6" t="str" cm="1">
        <f t="array" ref="E764">_xlfn.IFS(D764&lt;=5,"Newcomer",AND(D764&gt;=6,D764&lt;=10),"Proficient",D764&gt;=10,"Expert")</f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23"/>
        <v>Involuntary</v>
      </c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22"/>
        <v>8</v>
      </c>
      <c r="E765" s="6" t="str" cm="1">
        <f t="array" ref="E765">_xlfn.IFS(D765&lt;=5,"Newcomer",AND(D765&gt;=6,D765&lt;=10),"Proficient",D765&gt;=10,"Expert")</f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23"/>
        <v>Involuntary</v>
      </c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22"/>
        <v>30</v>
      </c>
      <c r="E766" s="6" t="str" cm="1">
        <f t="array" ref="E766">_xlfn.IFS(D766&lt;=5,"Newcomer",AND(D766&gt;=6,D766&lt;=10),"Proficient",D766&gt;=10,"Expert")</f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23"/>
        <v>Involuntary</v>
      </c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22"/>
        <v>22</v>
      </c>
      <c r="E767" s="6" t="str" cm="1">
        <f t="array" ref="E767">_xlfn.IFS(D767&lt;=5,"Newcomer",AND(D767&gt;=6,D767&lt;=10),"Proficient",D767&gt;=10,"Expert")</f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23"/>
        <v>Involuntary</v>
      </c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22"/>
        <v>11</v>
      </c>
      <c r="E768" s="6" t="str" cm="1">
        <f t="array" ref="E768">_xlfn.IFS(D768&lt;=5,"Newcomer",AND(D768&gt;=6,D768&lt;=10),"Proficient",D768&gt;=10,"Expert")</f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23"/>
        <v>Involuntary</v>
      </c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22"/>
        <v>11</v>
      </c>
      <c r="E769" s="6" t="str" cm="1">
        <f t="array" ref="E769">_xlfn.IFS(D769&lt;=5,"Newcomer",AND(D769&gt;=6,D769&lt;=10),"Proficient",D769&gt;=10,"Expert")</f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23"/>
        <v>Involuntary</v>
      </c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22"/>
        <v>7</v>
      </c>
      <c r="E770" s="6" t="str" cm="1">
        <f t="array" ref="E770">_xlfn.IFS(D770&lt;=5,"Newcomer",AND(D770&gt;=6,D770&lt;=10),"Proficient",D770&gt;=10,"Expert")</f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23"/>
        <v>Involuntary</v>
      </c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24">YEAR(C771)-YEAR(B771)</f>
        <v>16</v>
      </c>
      <c r="E771" s="6" t="str" cm="1">
        <f t="array" ref="E771">_xlfn.IFS(D771&lt;=5,"Newcomer",AND(D771&gt;=6,D771&lt;=10),"Proficient",D771&gt;=10,"Expert")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ref="M771:M834" si="25">IF(OR(L771="Retirement",L771="Resignation"),"Voluntary","Involuntary")</f>
        <v>Involuntary</v>
      </c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24"/>
        <v>24</v>
      </c>
      <c r="E772" s="6" t="str" cm="1">
        <f t="array" ref="E772">_xlfn.IFS(D772&lt;=5,"Newcomer",AND(D772&gt;=6,D772&lt;=10),"Proficient",D772&gt;=10,"Expert")</f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25"/>
        <v>Involuntary</v>
      </c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24"/>
        <v>7</v>
      </c>
      <c r="E773" s="6" t="str" cm="1">
        <f t="array" ref="E773">_xlfn.IFS(D773&lt;=5,"Newcomer",AND(D773&gt;=6,D773&lt;=10),"Proficient",D773&gt;=10,"Expert")</f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25"/>
        <v>Involuntary</v>
      </c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24"/>
        <v>25</v>
      </c>
      <c r="E774" s="6" t="str" cm="1">
        <f t="array" ref="E774">_xlfn.IFS(D774&lt;=5,"Newcomer",AND(D774&gt;=6,D774&lt;=10),"Proficient",D774&gt;=10,"Expert")</f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25"/>
        <v>Involuntary</v>
      </c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24"/>
        <v>12</v>
      </c>
      <c r="E775" s="6" t="str" cm="1">
        <f t="array" ref="E775">_xlfn.IFS(D775&lt;=5,"Newcomer",AND(D775&gt;=6,D775&lt;=10),"Proficient",D775&gt;=10,"Expert")</f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25"/>
        <v>Involuntary</v>
      </c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24"/>
        <v>6</v>
      </c>
      <c r="E776" s="6" t="str" cm="1">
        <f t="array" ref="E776">_xlfn.IFS(D776&lt;=5,"Newcomer",AND(D776&gt;=6,D776&lt;=10),"Proficient",D776&gt;=10,"Expert")</f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25"/>
        <v>Involuntary</v>
      </c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24"/>
        <v>22</v>
      </c>
      <c r="E777" s="6" t="str" cm="1">
        <f t="array" ref="E777">_xlfn.IFS(D777&lt;=5,"Newcomer",AND(D777&gt;=6,D777&lt;=10),"Proficient",D777&gt;=10,"Expert")</f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25"/>
        <v>Involuntary</v>
      </c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24"/>
        <v>18</v>
      </c>
      <c r="E778" s="6" t="str" cm="1">
        <f t="array" ref="E778">_xlfn.IFS(D778&lt;=5,"Newcomer",AND(D778&gt;=6,D778&lt;=10),"Proficient",D778&gt;=10,"Expert")</f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25"/>
        <v>Involuntary</v>
      </c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24"/>
        <v>16</v>
      </c>
      <c r="E779" s="6" t="str" cm="1">
        <f t="array" ref="E779">_xlfn.IFS(D779&lt;=5,"Newcomer",AND(D779&gt;=6,D779&lt;=10),"Proficient",D779&gt;=10,"Expert")</f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25"/>
        <v>Involuntary</v>
      </c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24"/>
        <v>7</v>
      </c>
      <c r="E780" s="6" t="str" cm="1">
        <f t="array" ref="E780">_xlfn.IFS(D780&lt;=5,"Newcomer",AND(D780&gt;=6,D780&lt;=10),"Proficient",D780&gt;=10,"Expert")</f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25"/>
        <v>Involuntary</v>
      </c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24"/>
        <v>17</v>
      </c>
      <c r="E781" s="6" t="str" cm="1">
        <f t="array" ref="E781">_xlfn.IFS(D781&lt;=5,"Newcomer",AND(D781&gt;=6,D781&lt;=10),"Proficient",D781&gt;=10,"Expert")</f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25"/>
        <v>Involuntary</v>
      </c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24"/>
        <v>28</v>
      </c>
      <c r="E782" s="6" t="str" cm="1">
        <f t="array" ref="E782">_xlfn.IFS(D782&lt;=5,"Newcomer",AND(D782&gt;=6,D782&lt;=10),"Proficient",D782&gt;=10,"Expert")</f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25"/>
        <v>Involuntary</v>
      </c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24"/>
        <v>26</v>
      </c>
      <c r="E783" s="6" t="str" cm="1">
        <f t="array" ref="E783">_xlfn.IFS(D783&lt;=5,"Newcomer",AND(D783&gt;=6,D783&lt;=10),"Proficient",D783&gt;=10,"Expert")</f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25"/>
        <v>Involuntary</v>
      </c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24"/>
        <v>25</v>
      </c>
      <c r="E784" s="6" t="str" cm="1">
        <f t="array" ref="E784">_xlfn.IFS(D784&lt;=5,"Newcomer",AND(D784&gt;=6,D784&lt;=10),"Proficient",D784&gt;=10,"Expert")</f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25"/>
        <v>Involuntary</v>
      </c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24"/>
        <v>25</v>
      </c>
      <c r="E785" s="6" t="str" cm="1">
        <f t="array" ref="E785">_xlfn.IFS(D785&lt;=5,"Newcomer",AND(D785&gt;=6,D785&lt;=10),"Proficient",D785&gt;=10,"Expert")</f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25"/>
        <v>Involuntary</v>
      </c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24"/>
        <v>17</v>
      </c>
      <c r="E786" s="6" t="str" cm="1">
        <f t="array" ref="E786">_xlfn.IFS(D786&lt;=5,"Newcomer",AND(D786&gt;=6,D786&lt;=10),"Proficient",D786&gt;=10,"Expert")</f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25"/>
        <v>Involuntary</v>
      </c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24"/>
        <v>21</v>
      </c>
      <c r="E787" s="6" t="str" cm="1">
        <f t="array" ref="E787">_xlfn.IFS(D787&lt;=5,"Newcomer",AND(D787&gt;=6,D787&lt;=10),"Proficient",D787&gt;=10,"Expert")</f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25"/>
        <v>Involuntary</v>
      </c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24"/>
        <v>19</v>
      </c>
      <c r="E788" s="6" t="str" cm="1">
        <f t="array" ref="E788">_xlfn.IFS(D788&lt;=5,"Newcomer",AND(D788&gt;=6,D788&lt;=10),"Proficient",D788&gt;=10,"Expert")</f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25"/>
        <v>Involuntary</v>
      </c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24"/>
        <v>22</v>
      </c>
      <c r="E789" s="6" t="str" cm="1">
        <f t="array" ref="E789">_xlfn.IFS(D789&lt;=5,"Newcomer",AND(D789&gt;=6,D789&lt;=10),"Proficient",D789&gt;=10,"Expert")</f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25"/>
        <v>Involuntary</v>
      </c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24"/>
        <v>17</v>
      </c>
      <c r="E790" s="6" t="str" cm="1">
        <f t="array" ref="E790">_xlfn.IFS(D790&lt;=5,"Newcomer",AND(D790&gt;=6,D790&lt;=10),"Proficient",D790&gt;=10,"Expert")</f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25"/>
        <v>Involuntary</v>
      </c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24"/>
        <v>24</v>
      </c>
      <c r="E791" s="6" t="str" cm="1">
        <f t="array" ref="E791">_xlfn.IFS(D791&lt;=5,"Newcomer",AND(D791&gt;=6,D791&lt;=10),"Proficient",D791&gt;=10,"Expert")</f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25"/>
        <v>Involuntary</v>
      </c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24"/>
        <v>8</v>
      </c>
      <c r="E792" s="6" t="str" cm="1">
        <f t="array" ref="E792">_xlfn.IFS(D792&lt;=5,"Newcomer",AND(D792&gt;=6,D792&lt;=10),"Proficient",D792&gt;=10,"Expert")</f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25"/>
        <v>Involuntary</v>
      </c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24"/>
        <v>8</v>
      </c>
      <c r="E793" s="6" t="str" cm="1">
        <f t="array" ref="E793">_xlfn.IFS(D793&lt;=5,"Newcomer",AND(D793&gt;=6,D793&lt;=10),"Proficient",D793&gt;=10,"Expert")</f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25"/>
        <v>Involuntary</v>
      </c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24"/>
        <v>12</v>
      </c>
      <c r="E794" s="6" t="str" cm="1">
        <f t="array" ref="E794">_xlfn.IFS(D794&lt;=5,"Newcomer",AND(D794&gt;=6,D794&lt;=10),"Proficient",D794&gt;=10,"Expert")</f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25"/>
        <v>Involuntary</v>
      </c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24"/>
        <v>28</v>
      </c>
      <c r="E795" s="6" t="str" cm="1">
        <f t="array" ref="E795">_xlfn.IFS(D795&lt;=5,"Newcomer",AND(D795&gt;=6,D795&lt;=10),"Proficient",D795&gt;=10,"Expert")</f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25"/>
        <v>Involuntary</v>
      </c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24"/>
        <v>16</v>
      </c>
      <c r="E796" s="6" t="str" cm="1">
        <f t="array" ref="E796">_xlfn.IFS(D796&lt;=5,"Newcomer",AND(D796&gt;=6,D796&lt;=10),"Proficient",D796&gt;=10,"Expert")</f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25"/>
        <v>Involuntary</v>
      </c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24"/>
        <v>30</v>
      </c>
      <c r="E797" s="6" t="str" cm="1">
        <f t="array" ref="E797">_xlfn.IFS(D797&lt;=5,"Newcomer",AND(D797&gt;=6,D797&lt;=10),"Proficient",D797&gt;=10,"Expert")</f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25"/>
        <v>Involuntary</v>
      </c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24"/>
        <v>5</v>
      </c>
      <c r="E798" s="6" t="str" cm="1">
        <f t="array" ref="E798">_xlfn.IFS(D798&lt;=5,"Newcomer",AND(D798&gt;=6,D798&lt;=10),"Proficient",D798&gt;=10,"Expert")</f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25"/>
        <v>Involuntary</v>
      </c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24"/>
        <v>7</v>
      </c>
      <c r="E799" s="6" t="str" cm="1">
        <f t="array" ref="E799">_xlfn.IFS(D799&lt;=5,"Newcomer",AND(D799&gt;=6,D799&lt;=10),"Proficient",D799&gt;=10,"Expert")</f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25"/>
        <v>Involuntary</v>
      </c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24"/>
        <v>23</v>
      </c>
      <c r="E800" s="6" t="str" cm="1">
        <f t="array" ref="E800">_xlfn.IFS(D800&lt;=5,"Newcomer",AND(D800&gt;=6,D800&lt;=10),"Proficient",D800&gt;=10,"Expert")</f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25"/>
        <v>Involuntary</v>
      </c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24"/>
        <v>7</v>
      </c>
      <c r="E801" s="6" t="str" cm="1">
        <f t="array" ref="E801">_xlfn.IFS(D801&lt;=5,"Newcomer",AND(D801&gt;=6,D801&lt;=10),"Proficient",D801&gt;=10,"Expert")</f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25"/>
        <v>Involuntary</v>
      </c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24"/>
        <v>9</v>
      </c>
      <c r="E802" s="6" t="str" cm="1">
        <f t="array" ref="E802">_xlfn.IFS(D802&lt;=5,"Newcomer",AND(D802&gt;=6,D802&lt;=10),"Proficient",D802&gt;=10,"Expert")</f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25"/>
        <v>Involuntary</v>
      </c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24"/>
        <v>28</v>
      </c>
      <c r="E803" s="6" t="str" cm="1">
        <f t="array" ref="E803">_xlfn.IFS(D803&lt;=5,"Newcomer",AND(D803&gt;=6,D803&lt;=10),"Proficient",D803&gt;=10,"Expert")</f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25"/>
        <v>Involuntary</v>
      </c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24"/>
        <v>10</v>
      </c>
      <c r="E804" s="6" t="str" cm="1">
        <f t="array" ref="E804">_xlfn.IFS(D804&lt;=5,"Newcomer",AND(D804&gt;=6,D804&lt;=10),"Proficient",D804&gt;=10,"Expert")</f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25"/>
        <v>Involuntary</v>
      </c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24"/>
        <v>14</v>
      </c>
      <c r="E805" s="6" t="str" cm="1">
        <f t="array" ref="E805">_xlfn.IFS(D805&lt;=5,"Newcomer",AND(D805&gt;=6,D805&lt;=10),"Proficient",D805&gt;=10,"Expert")</f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25"/>
        <v>Involuntary</v>
      </c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24"/>
        <v>25</v>
      </c>
      <c r="E806" s="6" t="str" cm="1">
        <f t="array" ref="E806">_xlfn.IFS(D806&lt;=5,"Newcomer",AND(D806&gt;=6,D806&lt;=10),"Proficient",D806&gt;=10,"Expert")</f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25"/>
        <v>Involuntary</v>
      </c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24"/>
        <v>16</v>
      </c>
      <c r="E807" s="6" t="str" cm="1">
        <f t="array" ref="E807">_xlfn.IFS(D807&lt;=5,"Newcomer",AND(D807&gt;=6,D807&lt;=10),"Proficient",D807&gt;=10,"Expert")</f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25"/>
        <v>Involuntary</v>
      </c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24"/>
        <v>14</v>
      </c>
      <c r="E808" s="6" t="str" cm="1">
        <f t="array" ref="E808">_xlfn.IFS(D808&lt;=5,"Newcomer",AND(D808&gt;=6,D808&lt;=10),"Proficient",D808&gt;=10,"Expert")</f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25"/>
        <v>Involuntary</v>
      </c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24"/>
        <v>13</v>
      </c>
      <c r="E809" s="6" t="str" cm="1">
        <f t="array" ref="E809">_xlfn.IFS(D809&lt;=5,"Newcomer",AND(D809&gt;=6,D809&lt;=10),"Proficient",D809&gt;=10,"Expert")</f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25"/>
        <v>Involuntary</v>
      </c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24"/>
        <v>8</v>
      </c>
      <c r="E810" s="6" t="str" cm="1">
        <f t="array" ref="E810">_xlfn.IFS(D810&lt;=5,"Newcomer",AND(D810&gt;=6,D810&lt;=10),"Proficient",D810&gt;=10,"Expert")</f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25"/>
        <v>Involuntary</v>
      </c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24"/>
        <v>15</v>
      </c>
      <c r="E811" s="6" t="str" cm="1">
        <f t="array" ref="E811">_xlfn.IFS(D811&lt;=5,"Newcomer",AND(D811&gt;=6,D811&lt;=10),"Proficient",D811&gt;=10,"Expert")</f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25"/>
        <v>Involuntary</v>
      </c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24"/>
        <v>28</v>
      </c>
      <c r="E812" s="6" t="str" cm="1">
        <f t="array" ref="E812">_xlfn.IFS(D812&lt;=5,"Newcomer",AND(D812&gt;=6,D812&lt;=10),"Proficient",D812&gt;=10,"Expert")</f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25"/>
        <v>Involuntary</v>
      </c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24"/>
        <v>19</v>
      </c>
      <c r="E813" s="6" t="str" cm="1">
        <f t="array" ref="E813">_xlfn.IFS(D813&lt;=5,"Newcomer",AND(D813&gt;=6,D813&lt;=10),"Proficient",D813&gt;=10,"Expert")</f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25"/>
        <v>Involuntary</v>
      </c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24"/>
        <v>11</v>
      </c>
      <c r="E814" s="6" t="str" cm="1">
        <f t="array" ref="E814">_xlfn.IFS(D814&lt;=5,"Newcomer",AND(D814&gt;=6,D814&lt;=10),"Proficient",D814&gt;=10,"Expert")</f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25"/>
        <v>Involuntary</v>
      </c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24"/>
        <v>18</v>
      </c>
      <c r="E815" s="6" t="str" cm="1">
        <f t="array" ref="E815">_xlfn.IFS(D815&lt;=5,"Newcomer",AND(D815&gt;=6,D815&lt;=10),"Proficient",D815&gt;=10,"Expert")</f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25"/>
        <v>Involuntary</v>
      </c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24"/>
        <v>6</v>
      </c>
      <c r="E816" s="6" t="str" cm="1">
        <f t="array" ref="E816">_xlfn.IFS(D816&lt;=5,"Newcomer",AND(D816&gt;=6,D816&lt;=10),"Proficient",D816&gt;=10,"Expert")</f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25"/>
        <v>Involuntary</v>
      </c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24"/>
        <v>23</v>
      </c>
      <c r="E817" s="6" t="str" cm="1">
        <f t="array" ref="E817">_xlfn.IFS(D817&lt;=5,"Newcomer",AND(D817&gt;=6,D817&lt;=10),"Proficient",D817&gt;=10,"Expert")</f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25"/>
        <v>Involuntary</v>
      </c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24"/>
        <v>27</v>
      </c>
      <c r="E818" s="6" t="str" cm="1">
        <f t="array" ref="E818">_xlfn.IFS(D818&lt;=5,"Newcomer",AND(D818&gt;=6,D818&lt;=10),"Proficient",D818&gt;=10,"Expert")</f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25"/>
        <v>Involuntary</v>
      </c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24"/>
        <v>14</v>
      </c>
      <c r="E819" s="6" t="str" cm="1">
        <f t="array" ref="E819">_xlfn.IFS(D819&lt;=5,"Newcomer",AND(D819&gt;=6,D819&lt;=10),"Proficient",D819&gt;=10,"Expert")</f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25"/>
        <v>Involuntary</v>
      </c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24"/>
        <v>27</v>
      </c>
      <c r="E820" s="6" t="str" cm="1">
        <f t="array" ref="E820">_xlfn.IFS(D820&lt;=5,"Newcomer",AND(D820&gt;=6,D820&lt;=10),"Proficient",D820&gt;=10,"Expert")</f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25"/>
        <v>Involuntary</v>
      </c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24"/>
        <v>21</v>
      </c>
      <c r="E821" s="6" t="str" cm="1">
        <f t="array" ref="E821">_xlfn.IFS(D821&lt;=5,"Newcomer",AND(D821&gt;=6,D821&lt;=10),"Proficient",D821&gt;=10,"Expert")</f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25"/>
        <v>Involuntary</v>
      </c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24"/>
        <v>21</v>
      </c>
      <c r="E822" s="6" t="str" cm="1">
        <f t="array" ref="E822">_xlfn.IFS(D822&lt;=5,"Newcomer",AND(D822&gt;=6,D822&lt;=10),"Proficient",D822&gt;=10,"Expert")</f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25"/>
        <v>Involuntary</v>
      </c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24"/>
        <v>16</v>
      </c>
      <c r="E823" s="6" t="str" cm="1">
        <f t="array" ref="E823">_xlfn.IFS(D823&lt;=5,"Newcomer",AND(D823&gt;=6,D823&lt;=10),"Proficient",D823&gt;=10,"Expert")</f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25"/>
        <v>Involuntary</v>
      </c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24"/>
        <v>5</v>
      </c>
      <c r="E824" s="6" t="str" cm="1">
        <f t="array" ref="E824">_xlfn.IFS(D824&lt;=5,"Newcomer",AND(D824&gt;=6,D824&lt;=10),"Proficient",D824&gt;=10,"Expert")</f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25"/>
        <v>Involuntary</v>
      </c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24"/>
        <v>22</v>
      </c>
      <c r="E825" s="6" t="str" cm="1">
        <f t="array" ref="E825">_xlfn.IFS(D825&lt;=5,"Newcomer",AND(D825&gt;=6,D825&lt;=10),"Proficient",D825&gt;=10,"Expert")</f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25"/>
        <v>Involuntary</v>
      </c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24"/>
        <v>30</v>
      </c>
      <c r="E826" s="6" t="str" cm="1">
        <f t="array" ref="E826">_xlfn.IFS(D826&lt;=5,"Newcomer",AND(D826&gt;=6,D826&lt;=10),"Proficient",D826&gt;=10,"Expert")</f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25"/>
        <v>Involuntary</v>
      </c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24"/>
        <v>5</v>
      </c>
      <c r="E827" s="6" t="str" cm="1">
        <f t="array" ref="E827">_xlfn.IFS(D827&lt;=5,"Newcomer",AND(D827&gt;=6,D827&lt;=10),"Proficient",D827&gt;=10,"Expert")</f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25"/>
        <v>Involuntary</v>
      </c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24"/>
        <v>23</v>
      </c>
      <c r="E828" s="6" t="str" cm="1">
        <f t="array" ref="E828">_xlfn.IFS(D828&lt;=5,"Newcomer",AND(D828&gt;=6,D828&lt;=10),"Proficient",D828&gt;=10,"Expert")</f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25"/>
        <v>Involuntary</v>
      </c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24"/>
        <v>30</v>
      </c>
      <c r="E829" s="6" t="str" cm="1">
        <f t="array" ref="E829">_xlfn.IFS(D829&lt;=5,"Newcomer",AND(D829&gt;=6,D829&lt;=10),"Proficient",D829&gt;=10,"Expert")</f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25"/>
        <v>Involuntary</v>
      </c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24"/>
        <v>13</v>
      </c>
      <c r="E830" s="6" t="str" cm="1">
        <f t="array" ref="E830">_xlfn.IFS(D830&lt;=5,"Newcomer",AND(D830&gt;=6,D830&lt;=10),"Proficient",D830&gt;=10,"Expert")</f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25"/>
        <v>Involuntary</v>
      </c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24"/>
        <v>16</v>
      </c>
      <c r="E831" s="6" t="str" cm="1">
        <f t="array" ref="E831">_xlfn.IFS(D831&lt;=5,"Newcomer",AND(D831&gt;=6,D831&lt;=10),"Proficient",D831&gt;=10,"Expert")</f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25"/>
        <v>Involuntary</v>
      </c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24"/>
        <v>27</v>
      </c>
      <c r="E832" s="6" t="str" cm="1">
        <f t="array" ref="E832">_xlfn.IFS(D832&lt;=5,"Newcomer",AND(D832&gt;=6,D832&lt;=10),"Proficient",D832&gt;=10,"Expert")</f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25"/>
        <v>Involuntary</v>
      </c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24"/>
        <v>16</v>
      </c>
      <c r="E833" s="6" t="str" cm="1">
        <f t="array" ref="E833">_xlfn.IFS(D833&lt;=5,"Newcomer",AND(D833&gt;=6,D833&lt;=10),"Proficient",D833&gt;=10,"Expert")</f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25"/>
        <v>Involuntary</v>
      </c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24"/>
        <v>26</v>
      </c>
      <c r="E834" s="6" t="str" cm="1">
        <f t="array" ref="E834">_xlfn.IFS(D834&lt;=5,"Newcomer",AND(D834&gt;=6,D834&lt;=10),"Proficient",D834&gt;=10,"Expert")</f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25"/>
        <v>Involuntary</v>
      </c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26">YEAR(C835)-YEAR(B835)</f>
        <v>24</v>
      </c>
      <c r="E835" s="6" t="str" cm="1">
        <f t="array" ref="E835">_xlfn.IFS(D835&lt;=5,"Newcomer",AND(D835&gt;=6,D835&lt;=10),"Proficient",D835&gt;=10,"Expert")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ref="M835:M898" si="27">IF(OR(L835="Retirement",L835="Resignation"),"Voluntary","Involuntary")</f>
        <v>Involuntary</v>
      </c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26"/>
        <v>8</v>
      </c>
      <c r="E836" s="6" t="str" cm="1">
        <f t="array" ref="E836">_xlfn.IFS(D836&lt;=5,"Newcomer",AND(D836&gt;=6,D836&lt;=10),"Proficient",D836&gt;=10,"Expert")</f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27"/>
        <v>Involuntary</v>
      </c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26"/>
        <v>23</v>
      </c>
      <c r="E837" s="6" t="str" cm="1">
        <f t="array" ref="E837">_xlfn.IFS(D837&lt;=5,"Newcomer",AND(D837&gt;=6,D837&lt;=10),"Proficient",D837&gt;=10,"Expert")</f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27"/>
        <v>Voluntary</v>
      </c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26"/>
        <v>11</v>
      </c>
      <c r="E838" s="6" t="str" cm="1">
        <f t="array" ref="E838">_xlfn.IFS(D838&lt;=5,"Newcomer",AND(D838&gt;=6,D838&lt;=10),"Proficient",D838&gt;=10,"Expert")</f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27"/>
        <v>Voluntary</v>
      </c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26"/>
        <v>26</v>
      </c>
      <c r="E839" s="6" t="str" cm="1">
        <f t="array" ref="E839">_xlfn.IFS(D839&lt;=5,"Newcomer",AND(D839&gt;=6,D839&lt;=10),"Proficient",D839&gt;=10,"Expert")</f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27"/>
        <v>Involuntary</v>
      </c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26"/>
        <v>9</v>
      </c>
      <c r="E840" s="6" t="str" cm="1">
        <f t="array" ref="E840">_xlfn.IFS(D840&lt;=5,"Newcomer",AND(D840&gt;=6,D840&lt;=10),"Proficient",D840&gt;=10,"Expert")</f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27"/>
        <v>Involuntary</v>
      </c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26"/>
        <v>6</v>
      </c>
      <c r="E841" s="6" t="str" cm="1">
        <f t="array" ref="E841">_xlfn.IFS(D841&lt;=5,"Newcomer",AND(D841&gt;=6,D841&lt;=10),"Proficient",D841&gt;=10,"Expert")</f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27"/>
        <v>Involuntary</v>
      </c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26"/>
        <v>30</v>
      </c>
      <c r="E842" s="6" t="str" cm="1">
        <f t="array" ref="E842">_xlfn.IFS(D842&lt;=5,"Newcomer",AND(D842&gt;=6,D842&lt;=10),"Proficient",D842&gt;=10,"Expert")</f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27"/>
        <v>Involuntary</v>
      </c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26"/>
        <v>19</v>
      </c>
      <c r="E843" s="6" t="str" cm="1">
        <f t="array" ref="E843">_xlfn.IFS(D843&lt;=5,"Newcomer",AND(D843&gt;=6,D843&lt;=10),"Proficient",D843&gt;=10,"Expert")</f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27"/>
        <v>Involuntary</v>
      </c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26"/>
        <v>11</v>
      </c>
      <c r="E844" s="6" t="str" cm="1">
        <f t="array" ref="E844">_xlfn.IFS(D844&lt;=5,"Newcomer",AND(D844&gt;=6,D844&lt;=10),"Proficient",D844&gt;=10,"Expert")</f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27"/>
        <v>Involuntary</v>
      </c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26"/>
        <v>25</v>
      </c>
      <c r="E845" s="6" t="str" cm="1">
        <f t="array" ref="E845">_xlfn.IFS(D845&lt;=5,"Newcomer",AND(D845&gt;=6,D845&lt;=10),"Proficient",D845&gt;=10,"Expert")</f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27"/>
        <v>Voluntary</v>
      </c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26"/>
        <v>9</v>
      </c>
      <c r="E846" s="6" t="str" cm="1">
        <f t="array" ref="E846">_xlfn.IFS(D846&lt;=5,"Newcomer",AND(D846&gt;=6,D846&lt;=10),"Proficient",D846&gt;=10,"Expert")</f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27"/>
        <v>Involuntary</v>
      </c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26"/>
        <v>28</v>
      </c>
      <c r="E847" s="6" t="str" cm="1">
        <f t="array" ref="E847">_xlfn.IFS(D847&lt;=5,"Newcomer",AND(D847&gt;=6,D847&lt;=10),"Proficient",D847&gt;=10,"Expert")</f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27"/>
        <v>Involuntary</v>
      </c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26"/>
        <v>16</v>
      </c>
      <c r="E848" s="6" t="str" cm="1">
        <f t="array" ref="E848">_xlfn.IFS(D848&lt;=5,"Newcomer",AND(D848&gt;=6,D848&lt;=10),"Proficient",D848&gt;=10,"Expert")</f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27"/>
        <v>Involuntary</v>
      </c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26"/>
        <v>30</v>
      </c>
      <c r="E849" s="6" t="str" cm="1">
        <f t="array" ref="E849">_xlfn.IFS(D849&lt;=5,"Newcomer",AND(D849&gt;=6,D849&lt;=10),"Proficient",D849&gt;=10,"Expert")</f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27"/>
        <v>Involuntary</v>
      </c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26"/>
        <v>15</v>
      </c>
      <c r="E850" s="6" t="str" cm="1">
        <f t="array" ref="E850">_xlfn.IFS(D850&lt;=5,"Newcomer",AND(D850&gt;=6,D850&lt;=10),"Proficient",D850&gt;=10,"Expert")</f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27"/>
        <v>Involuntary</v>
      </c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26"/>
        <v>21</v>
      </c>
      <c r="E851" s="6" t="str" cm="1">
        <f t="array" ref="E851">_xlfn.IFS(D851&lt;=5,"Newcomer",AND(D851&gt;=6,D851&lt;=10),"Proficient",D851&gt;=10,"Expert")</f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27"/>
        <v>Involuntary</v>
      </c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26"/>
        <v>15</v>
      </c>
      <c r="E852" s="6" t="str" cm="1">
        <f t="array" ref="E852">_xlfn.IFS(D852&lt;=5,"Newcomer",AND(D852&gt;=6,D852&lt;=10),"Proficient",D852&gt;=10,"Expert")</f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27"/>
        <v>Involuntary</v>
      </c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26"/>
        <v>20</v>
      </c>
      <c r="E853" s="6" t="str" cm="1">
        <f t="array" ref="E853">_xlfn.IFS(D853&lt;=5,"Newcomer",AND(D853&gt;=6,D853&lt;=10),"Proficient",D853&gt;=10,"Expert")</f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27"/>
        <v>Involuntary</v>
      </c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26"/>
        <v>28</v>
      </c>
      <c r="E854" s="6" t="str" cm="1">
        <f t="array" ref="E854">_xlfn.IFS(D854&lt;=5,"Newcomer",AND(D854&gt;=6,D854&lt;=10),"Proficient",D854&gt;=10,"Expert")</f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27"/>
        <v>Involuntary</v>
      </c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26"/>
        <v>17</v>
      </c>
      <c r="E855" s="6" t="str" cm="1">
        <f t="array" ref="E855">_xlfn.IFS(D855&lt;=5,"Newcomer",AND(D855&gt;=6,D855&lt;=10),"Proficient",D855&gt;=10,"Expert")</f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27"/>
        <v>Involuntary</v>
      </c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26"/>
        <v>15</v>
      </c>
      <c r="E856" s="6" t="str" cm="1">
        <f t="array" ref="E856">_xlfn.IFS(D856&lt;=5,"Newcomer",AND(D856&gt;=6,D856&lt;=10),"Proficient",D856&gt;=10,"Expert")</f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27"/>
        <v>Involuntary</v>
      </c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26"/>
        <v>22</v>
      </c>
      <c r="E857" s="6" t="str" cm="1">
        <f t="array" ref="E857">_xlfn.IFS(D857&lt;=5,"Newcomer",AND(D857&gt;=6,D857&lt;=10),"Proficient",D857&gt;=10,"Expert")</f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27"/>
        <v>Involuntary</v>
      </c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26"/>
        <v>10</v>
      </c>
      <c r="E858" s="6" t="str" cm="1">
        <f t="array" ref="E858">_xlfn.IFS(D858&lt;=5,"Newcomer",AND(D858&gt;=6,D858&lt;=10),"Proficient",D858&gt;=10,"Expert")</f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27"/>
        <v>Involuntary</v>
      </c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26"/>
        <v>10</v>
      </c>
      <c r="E859" s="6" t="str" cm="1">
        <f t="array" ref="E859">_xlfn.IFS(D859&lt;=5,"Newcomer",AND(D859&gt;=6,D859&lt;=10),"Proficient",D859&gt;=10,"Expert")</f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27"/>
        <v>Involuntary</v>
      </c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26"/>
        <v>30</v>
      </c>
      <c r="E860" s="6" t="str" cm="1">
        <f t="array" ref="E860">_xlfn.IFS(D860&lt;=5,"Newcomer",AND(D860&gt;=6,D860&lt;=10),"Proficient",D860&gt;=10,"Expert")</f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27"/>
        <v>Involuntary</v>
      </c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26"/>
        <v>28</v>
      </c>
      <c r="E861" s="6" t="str" cm="1">
        <f t="array" ref="E861">_xlfn.IFS(D861&lt;=5,"Newcomer",AND(D861&gt;=6,D861&lt;=10),"Proficient",D861&gt;=10,"Expert")</f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27"/>
        <v>Involuntary</v>
      </c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26"/>
        <v>8</v>
      </c>
      <c r="E862" s="6" t="str" cm="1">
        <f t="array" ref="E862">_xlfn.IFS(D862&lt;=5,"Newcomer",AND(D862&gt;=6,D862&lt;=10),"Proficient",D862&gt;=10,"Expert")</f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27"/>
        <v>Involuntary</v>
      </c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26"/>
        <v>25</v>
      </c>
      <c r="E863" s="6" t="str" cm="1">
        <f t="array" ref="E863">_xlfn.IFS(D863&lt;=5,"Newcomer",AND(D863&gt;=6,D863&lt;=10),"Proficient",D863&gt;=10,"Expert")</f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27"/>
        <v>Voluntary</v>
      </c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26"/>
        <v>18</v>
      </c>
      <c r="E864" s="6" t="str" cm="1">
        <f t="array" ref="E864">_xlfn.IFS(D864&lt;=5,"Newcomer",AND(D864&gt;=6,D864&lt;=10),"Proficient",D864&gt;=10,"Expert")</f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27"/>
        <v>Involuntary</v>
      </c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26"/>
        <v>21</v>
      </c>
      <c r="E865" s="6" t="str" cm="1">
        <f t="array" ref="E865">_xlfn.IFS(D865&lt;=5,"Newcomer",AND(D865&gt;=6,D865&lt;=10),"Proficient",D865&gt;=10,"Expert")</f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27"/>
        <v>Involuntary</v>
      </c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26"/>
        <v>22</v>
      </c>
      <c r="E866" s="6" t="str" cm="1">
        <f t="array" ref="E866">_xlfn.IFS(D866&lt;=5,"Newcomer",AND(D866&gt;=6,D866&lt;=10),"Proficient",D866&gt;=10,"Expert")</f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27"/>
        <v>Involuntary</v>
      </c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26"/>
        <v>5</v>
      </c>
      <c r="E867" s="6" t="str" cm="1">
        <f t="array" ref="E867">_xlfn.IFS(D867&lt;=5,"Newcomer",AND(D867&gt;=6,D867&lt;=10),"Proficient",D867&gt;=10,"Expert")</f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27"/>
        <v>Involuntary</v>
      </c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26"/>
        <v>18</v>
      </c>
      <c r="E868" s="6" t="str" cm="1">
        <f t="array" ref="E868">_xlfn.IFS(D868&lt;=5,"Newcomer",AND(D868&gt;=6,D868&lt;=10),"Proficient",D868&gt;=10,"Expert")</f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27"/>
        <v>Involuntary</v>
      </c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26"/>
        <v>29</v>
      </c>
      <c r="E869" s="6" t="str" cm="1">
        <f t="array" ref="E869">_xlfn.IFS(D869&lt;=5,"Newcomer",AND(D869&gt;=6,D869&lt;=10),"Proficient",D869&gt;=10,"Expert")</f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27"/>
        <v>Involuntary</v>
      </c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26"/>
        <v>15</v>
      </c>
      <c r="E870" s="6" t="str" cm="1">
        <f t="array" ref="E870">_xlfn.IFS(D870&lt;=5,"Newcomer",AND(D870&gt;=6,D870&lt;=10),"Proficient",D870&gt;=10,"Expert")</f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27"/>
        <v>Involuntary</v>
      </c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26"/>
        <v>5</v>
      </c>
      <c r="E871" s="6" t="str" cm="1">
        <f t="array" ref="E871">_xlfn.IFS(D871&lt;=5,"Newcomer",AND(D871&gt;=6,D871&lt;=10),"Proficient",D871&gt;=10,"Expert")</f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27"/>
        <v>Involuntary</v>
      </c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26"/>
        <v>7</v>
      </c>
      <c r="E872" s="6" t="str" cm="1">
        <f t="array" ref="E872">_xlfn.IFS(D872&lt;=5,"Newcomer",AND(D872&gt;=6,D872&lt;=10),"Proficient",D872&gt;=10,"Expert")</f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27"/>
        <v>Involuntary</v>
      </c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26"/>
        <v>29</v>
      </c>
      <c r="E873" s="6" t="str" cm="1">
        <f t="array" ref="E873">_xlfn.IFS(D873&lt;=5,"Newcomer",AND(D873&gt;=6,D873&lt;=10),"Proficient",D873&gt;=10,"Expert")</f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27"/>
        <v>Involuntary</v>
      </c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26"/>
        <v>13</v>
      </c>
      <c r="E874" s="6" t="str" cm="1">
        <f t="array" ref="E874">_xlfn.IFS(D874&lt;=5,"Newcomer",AND(D874&gt;=6,D874&lt;=10),"Proficient",D874&gt;=10,"Expert")</f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27"/>
        <v>Voluntary</v>
      </c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26"/>
        <v>9</v>
      </c>
      <c r="E875" s="6" t="str" cm="1">
        <f t="array" ref="E875">_xlfn.IFS(D875&lt;=5,"Newcomer",AND(D875&gt;=6,D875&lt;=10),"Proficient",D875&gt;=10,"Expert")</f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27"/>
        <v>Voluntary</v>
      </c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26"/>
        <v>14</v>
      </c>
      <c r="E876" s="6" t="str" cm="1">
        <f t="array" ref="E876">_xlfn.IFS(D876&lt;=5,"Newcomer",AND(D876&gt;=6,D876&lt;=10),"Proficient",D876&gt;=10,"Expert")</f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27"/>
        <v>Involuntary</v>
      </c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26"/>
        <v>26</v>
      </c>
      <c r="E877" s="6" t="str" cm="1">
        <f t="array" ref="E877">_xlfn.IFS(D877&lt;=5,"Newcomer",AND(D877&gt;=6,D877&lt;=10),"Proficient",D877&gt;=10,"Expert")</f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27"/>
        <v>Involuntary</v>
      </c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26"/>
        <v>22</v>
      </c>
      <c r="E878" s="6" t="str" cm="1">
        <f t="array" ref="E878">_xlfn.IFS(D878&lt;=5,"Newcomer",AND(D878&gt;=6,D878&lt;=10),"Proficient",D878&gt;=10,"Expert")</f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27"/>
        <v>Involuntary</v>
      </c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26"/>
        <v>7</v>
      </c>
      <c r="E879" s="6" t="str" cm="1">
        <f t="array" ref="E879">_xlfn.IFS(D879&lt;=5,"Newcomer",AND(D879&gt;=6,D879&lt;=10),"Proficient",D879&gt;=10,"Expert")</f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27"/>
        <v>Involuntary</v>
      </c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26"/>
        <v>22</v>
      </c>
      <c r="E880" s="6" t="str" cm="1">
        <f t="array" ref="E880">_xlfn.IFS(D880&lt;=5,"Newcomer",AND(D880&gt;=6,D880&lt;=10),"Proficient",D880&gt;=10,"Expert")</f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27"/>
        <v>Involuntary</v>
      </c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26"/>
        <v>30</v>
      </c>
      <c r="E881" s="6" t="str" cm="1">
        <f t="array" ref="E881">_xlfn.IFS(D881&lt;=5,"Newcomer",AND(D881&gt;=6,D881&lt;=10),"Proficient",D881&gt;=10,"Expert")</f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27"/>
        <v>Involuntary</v>
      </c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26"/>
        <v>26</v>
      </c>
      <c r="E882" s="6" t="str" cm="1">
        <f t="array" ref="E882">_xlfn.IFS(D882&lt;=5,"Newcomer",AND(D882&gt;=6,D882&lt;=10),"Proficient",D882&gt;=10,"Expert")</f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27"/>
        <v>Involuntary</v>
      </c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26"/>
        <v>6</v>
      </c>
      <c r="E883" s="6" t="str" cm="1">
        <f t="array" ref="E883">_xlfn.IFS(D883&lt;=5,"Newcomer",AND(D883&gt;=6,D883&lt;=10),"Proficient",D883&gt;=10,"Expert")</f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27"/>
        <v>Involuntary</v>
      </c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26"/>
        <v>10</v>
      </c>
      <c r="E884" s="6" t="str" cm="1">
        <f t="array" ref="E884">_xlfn.IFS(D884&lt;=5,"Newcomer",AND(D884&gt;=6,D884&lt;=10),"Proficient",D884&gt;=10,"Expert")</f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27"/>
        <v>Voluntary</v>
      </c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26"/>
        <v>18</v>
      </c>
      <c r="E885" s="6" t="str" cm="1">
        <f t="array" ref="E885">_xlfn.IFS(D885&lt;=5,"Newcomer",AND(D885&gt;=6,D885&lt;=10),"Proficient",D885&gt;=10,"Expert")</f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27"/>
        <v>Involuntary</v>
      </c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26"/>
        <v>25</v>
      </c>
      <c r="E886" s="6" t="str" cm="1">
        <f t="array" ref="E886">_xlfn.IFS(D886&lt;=5,"Newcomer",AND(D886&gt;=6,D886&lt;=10),"Proficient",D886&gt;=10,"Expert")</f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27"/>
        <v>Involuntary</v>
      </c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26"/>
        <v>30</v>
      </c>
      <c r="E887" s="6" t="str" cm="1">
        <f t="array" ref="E887">_xlfn.IFS(D887&lt;=5,"Newcomer",AND(D887&gt;=6,D887&lt;=10),"Proficient",D887&gt;=10,"Expert")</f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27"/>
        <v>Involuntary</v>
      </c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26"/>
        <v>18</v>
      </c>
      <c r="E888" s="6" t="str" cm="1">
        <f t="array" ref="E888">_xlfn.IFS(D888&lt;=5,"Newcomer",AND(D888&gt;=6,D888&lt;=10),"Proficient",D888&gt;=10,"Expert")</f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27"/>
        <v>Involuntary</v>
      </c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26"/>
        <v>5</v>
      </c>
      <c r="E889" s="6" t="str" cm="1">
        <f t="array" ref="E889">_xlfn.IFS(D889&lt;=5,"Newcomer",AND(D889&gt;=6,D889&lt;=10),"Proficient",D889&gt;=10,"Expert")</f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27"/>
        <v>Involuntary</v>
      </c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26"/>
        <v>16</v>
      </c>
      <c r="E890" s="6" t="str" cm="1">
        <f t="array" ref="E890">_xlfn.IFS(D890&lt;=5,"Newcomer",AND(D890&gt;=6,D890&lt;=10),"Proficient",D890&gt;=10,"Expert")</f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27"/>
        <v>Involuntary</v>
      </c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26"/>
        <v>20</v>
      </c>
      <c r="E891" s="6" t="str" cm="1">
        <f t="array" ref="E891">_xlfn.IFS(D891&lt;=5,"Newcomer",AND(D891&gt;=6,D891&lt;=10),"Proficient",D891&gt;=10,"Expert")</f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27"/>
        <v>Involuntary</v>
      </c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26"/>
        <v>12</v>
      </c>
      <c r="E892" s="6" t="str" cm="1">
        <f t="array" ref="E892">_xlfn.IFS(D892&lt;=5,"Newcomer",AND(D892&gt;=6,D892&lt;=10),"Proficient",D892&gt;=10,"Expert")</f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27"/>
        <v>Involuntary</v>
      </c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26"/>
        <v>24</v>
      </c>
      <c r="E893" s="6" t="str" cm="1">
        <f t="array" ref="E893">_xlfn.IFS(D893&lt;=5,"Newcomer",AND(D893&gt;=6,D893&lt;=10),"Proficient",D893&gt;=10,"Expert")</f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27"/>
        <v>Involuntary</v>
      </c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26"/>
        <v>19</v>
      </c>
      <c r="E894" s="6" t="str" cm="1">
        <f t="array" ref="E894">_xlfn.IFS(D894&lt;=5,"Newcomer",AND(D894&gt;=6,D894&lt;=10),"Proficient",D894&gt;=10,"Expert")</f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27"/>
        <v>Involuntary</v>
      </c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26"/>
        <v>8</v>
      </c>
      <c r="E895" s="6" t="str" cm="1">
        <f t="array" ref="E895">_xlfn.IFS(D895&lt;=5,"Newcomer",AND(D895&gt;=6,D895&lt;=10),"Proficient",D895&gt;=10,"Expert")</f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27"/>
        <v>Involuntary</v>
      </c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26"/>
        <v>29</v>
      </c>
      <c r="E896" s="6" t="str" cm="1">
        <f t="array" ref="E896">_xlfn.IFS(D896&lt;=5,"Newcomer",AND(D896&gt;=6,D896&lt;=10),"Proficient",D896&gt;=10,"Expert")</f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27"/>
        <v>Voluntary</v>
      </c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26"/>
        <v>10</v>
      </c>
      <c r="E897" s="6" t="str" cm="1">
        <f t="array" ref="E897">_xlfn.IFS(D897&lt;=5,"Newcomer",AND(D897&gt;=6,D897&lt;=10),"Proficient",D897&gt;=10,"Expert")</f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27"/>
        <v>Involuntary</v>
      </c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26"/>
        <v>30</v>
      </c>
      <c r="E898" s="6" t="str" cm="1">
        <f t="array" ref="E898">_xlfn.IFS(D898&lt;=5,"Newcomer",AND(D898&gt;=6,D898&lt;=10),"Proficient",D898&gt;=10,"Expert")</f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27"/>
        <v>Involuntary</v>
      </c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28">YEAR(C899)-YEAR(B899)</f>
        <v>25</v>
      </c>
      <c r="E899" s="6" t="str" cm="1">
        <f t="array" ref="E899">_xlfn.IFS(D899&lt;=5,"Newcomer",AND(D899&gt;=6,D899&lt;=10),"Proficient",D899&gt;=10,"Expert")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ref="M899:M962" si="29">IF(OR(L899="Retirement",L899="Resignation"),"Voluntary","Involuntary")</f>
        <v>Involuntary</v>
      </c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28"/>
        <v>17</v>
      </c>
      <c r="E900" s="6" t="str" cm="1">
        <f t="array" ref="E900">_xlfn.IFS(D900&lt;=5,"Newcomer",AND(D900&gt;=6,D900&lt;=10),"Proficient",D900&gt;=10,"Expert")</f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29"/>
        <v>Voluntary</v>
      </c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28"/>
        <v>24</v>
      </c>
      <c r="E901" s="6" t="str" cm="1">
        <f t="array" ref="E901">_xlfn.IFS(D901&lt;=5,"Newcomer",AND(D901&gt;=6,D901&lt;=10),"Proficient",D901&gt;=10,"Expert")</f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29"/>
        <v>Involuntary</v>
      </c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28"/>
        <v>6</v>
      </c>
      <c r="E902" s="6" t="str" cm="1">
        <f t="array" ref="E902">_xlfn.IFS(D902&lt;=5,"Newcomer",AND(D902&gt;=6,D902&lt;=10),"Proficient",D902&gt;=10,"Expert")</f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29"/>
        <v>Involuntary</v>
      </c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28"/>
        <v>9</v>
      </c>
      <c r="E903" s="6" t="str" cm="1">
        <f t="array" ref="E903">_xlfn.IFS(D903&lt;=5,"Newcomer",AND(D903&gt;=6,D903&lt;=10),"Proficient",D903&gt;=10,"Expert")</f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29"/>
        <v>Involuntary</v>
      </c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28"/>
        <v>20</v>
      </c>
      <c r="E904" s="6" t="str" cm="1">
        <f t="array" ref="E904">_xlfn.IFS(D904&lt;=5,"Newcomer",AND(D904&gt;=6,D904&lt;=10),"Proficient",D904&gt;=10,"Expert")</f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29"/>
        <v>Involuntary</v>
      </c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28"/>
        <v>26</v>
      </c>
      <c r="E905" s="6" t="str" cm="1">
        <f t="array" ref="E905">_xlfn.IFS(D905&lt;=5,"Newcomer",AND(D905&gt;=6,D905&lt;=10),"Proficient",D905&gt;=10,"Expert")</f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29"/>
        <v>Involuntary</v>
      </c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28"/>
        <v>5</v>
      </c>
      <c r="E906" s="6" t="str" cm="1">
        <f t="array" ref="E906">_xlfn.IFS(D906&lt;=5,"Newcomer",AND(D906&gt;=6,D906&lt;=10),"Proficient",D906&gt;=10,"Expert")</f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29"/>
        <v>Involuntary</v>
      </c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28"/>
        <v>8</v>
      </c>
      <c r="E907" s="6" t="str" cm="1">
        <f t="array" ref="E907">_xlfn.IFS(D907&lt;=5,"Newcomer",AND(D907&gt;=6,D907&lt;=10),"Proficient",D907&gt;=10,"Expert")</f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29"/>
        <v>Involuntary</v>
      </c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28"/>
        <v>30</v>
      </c>
      <c r="E908" s="6" t="str" cm="1">
        <f t="array" ref="E908">_xlfn.IFS(D908&lt;=5,"Newcomer",AND(D908&gt;=6,D908&lt;=10),"Proficient",D908&gt;=10,"Expert")</f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29"/>
        <v>Involuntary</v>
      </c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28"/>
        <v>23</v>
      </c>
      <c r="E909" s="6" t="str" cm="1">
        <f t="array" ref="E909">_xlfn.IFS(D909&lt;=5,"Newcomer",AND(D909&gt;=6,D909&lt;=10),"Proficient",D909&gt;=10,"Expert")</f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29"/>
        <v>Involuntary</v>
      </c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28"/>
        <v>20</v>
      </c>
      <c r="E910" s="6" t="str" cm="1">
        <f t="array" ref="E910">_xlfn.IFS(D910&lt;=5,"Newcomer",AND(D910&gt;=6,D910&lt;=10),"Proficient",D910&gt;=10,"Expert")</f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29"/>
        <v>Involuntary</v>
      </c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28"/>
        <v>20</v>
      </c>
      <c r="E911" s="6" t="str" cm="1">
        <f t="array" ref="E911">_xlfn.IFS(D911&lt;=5,"Newcomer",AND(D911&gt;=6,D911&lt;=10),"Proficient",D911&gt;=10,"Expert")</f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29"/>
        <v>Involuntary</v>
      </c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28"/>
        <v>20</v>
      </c>
      <c r="E912" s="6" t="str" cm="1">
        <f t="array" ref="E912">_xlfn.IFS(D912&lt;=5,"Newcomer",AND(D912&gt;=6,D912&lt;=10),"Proficient",D912&gt;=10,"Expert")</f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29"/>
        <v>Involuntary</v>
      </c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28"/>
        <v>10</v>
      </c>
      <c r="E913" s="6" t="str" cm="1">
        <f t="array" ref="E913">_xlfn.IFS(D913&lt;=5,"Newcomer",AND(D913&gt;=6,D913&lt;=10),"Proficient",D913&gt;=10,"Expert")</f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29"/>
        <v>Involuntary</v>
      </c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28"/>
        <v>15</v>
      </c>
      <c r="E914" s="6" t="str" cm="1">
        <f t="array" ref="E914">_xlfn.IFS(D914&lt;=5,"Newcomer",AND(D914&gt;=6,D914&lt;=10),"Proficient",D914&gt;=10,"Expert")</f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29"/>
        <v>Involuntary</v>
      </c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28"/>
        <v>18</v>
      </c>
      <c r="E915" s="6" t="str" cm="1">
        <f t="array" ref="E915">_xlfn.IFS(D915&lt;=5,"Newcomer",AND(D915&gt;=6,D915&lt;=10),"Proficient",D915&gt;=10,"Expert")</f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29"/>
        <v>Involuntary</v>
      </c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28"/>
        <v>26</v>
      </c>
      <c r="E916" s="6" t="str" cm="1">
        <f t="array" ref="E916">_xlfn.IFS(D916&lt;=5,"Newcomer",AND(D916&gt;=6,D916&lt;=10),"Proficient",D916&gt;=10,"Expert")</f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29"/>
        <v>Involuntary</v>
      </c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28"/>
        <v>28</v>
      </c>
      <c r="E917" s="6" t="str" cm="1">
        <f t="array" ref="E917">_xlfn.IFS(D917&lt;=5,"Newcomer",AND(D917&gt;=6,D917&lt;=10),"Proficient",D917&gt;=10,"Expert")</f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29"/>
        <v>Involuntary</v>
      </c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28"/>
        <v>18</v>
      </c>
      <c r="E918" s="6" t="str" cm="1">
        <f t="array" ref="E918">_xlfn.IFS(D918&lt;=5,"Newcomer",AND(D918&gt;=6,D918&lt;=10),"Proficient",D918&gt;=10,"Expert")</f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29"/>
        <v>Involuntary</v>
      </c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28"/>
        <v>20</v>
      </c>
      <c r="E919" s="6" t="str" cm="1">
        <f t="array" ref="E919">_xlfn.IFS(D919&lt;=5,"Newcomer",AND(D919&gt;=6,D919&lt;=10),"Proficient",D919&gt;=10,"Expert")</f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29"/>
        <v>Involuntary</v>
      </c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28"/>
        <v>15</v>
      </c>
      <c r="E920" s="6" t="str" cm="1">
        <f t="array" ref="E920">_xlfn.IFS(D920&lt;=5,"Newcomer",AND(D920&gt;=6,D920&lt;=10),"Proficient",D920&gt;=10,"Expert")</f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29"/>
        <v>Involuntary</v>
      </c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28"/>
        <v>20</v>
      </c>
      <c r="E921" s="6" t="str" cm="1">
        <f t="array" ref="E921">_xlfn.IFS(D921&lt;=5,"Newcomer",AND(D921&gt;=6,D921&lt;=10),"Proficient",D921&gt;=10,"Expert")</f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29"/>
        <v>Involuntary</v>
      </c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28"/>
        <v>19</v>
      </c>
      <c r="E922" s="6" t="str" cm="1">
        <f t="array" ref="E922">_xlfn.IFS(D922&lt;=5,"Newcomer",AND(D922&gt;=6,D922&lt;=10),"Proficient",D922&gt;=10,"Expert")</f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29"/>
        <v>Involuntary</v>
      </c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28"/>
        <v>15</v>
      </c>
      <c r="E923" s="6" t="str" cm="1">
        <f t="array" ref="E923">_xlfn.IFS(D923&lt;=5,"Newcomer",AND(D923&gt;=6,D923&lt;=10),"Proficient",D923&gt;=10,"Expert")</f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29"/>
        <v>Involuntary</v>
      </c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28"/>
        <v>12</v>
      </c>
      <c r="E924" s="6" t="str" cm="1">
        <f t="array" ref="E924">_xlfn.IFS(D924&lt;=5,"Newcomer",AND(D924&gt;=6,D924&lt;=10),"Proficient",D924&gt;=10,"Expert")</f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29"/>
        <v>Involuntary</v>
      </c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28"/>
        <v>10</v>
      </c>
      <c r="E925" s="6" t="str" cm="1">
        <f t="array" ref="E925">_xlfn.IFS(D925&lt;=5,"Newcomer",AND(D925&gt;=6,D925&lt;=10),"Proficient",D925&gt;=10,"Expert")</f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29"/>
        <v>Involuntary</v>
      </c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28"/>
        <v>9</v>
      </c>
      <c r="E926" s="6" t="str" cm="1">
        <f t="array" ref="E926">_xlfn.IFS(D926&lt;=5,"Newcomer",AND(D926&gt;=6,D926&lt;=10),"Proficient",D926&gt;=10,"Expert")</f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29"/>
        <v>Involuntary</v>
      </c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28"/>
        <v>15</v>
      </c>
      <c r="E927" s="6" t="str" cm="1">
        <f t="array" ref="E927">_xlfn.IFS(D927&lt;=5,"Newcomer",AND(D927&gt;=6,D927&lt;=10),"Proficient",D927&gt;=10,"Expert")</f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29"/>
        <v>Involuntary</v>
      </c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28"/>
        <v>11</v>
      </c>
      <c r="E928" s="6" t="str" cm="1">
        <f t="array" ref="E928">_xlfn.IFS(D928&lt;=5,"Newcomer",AND(D928&gt;=6,D928&lt;=10),"Proficient",D928&gt;=10,"Expert")</f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29"/>
        <v>Involuntary</v>
      </c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28"/>
        <v>27</v>
      </c>
      <c r="E929" s="6" t="str" cm="1">
        <f t="array" ref="E929">_xlfn.IFS(D929&lt;=5,"Newcomer",AND(D929&gt;=6,D929&lt;=10),"Proficient",D929&gt;=10,"Expert")</f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29"/>
        <v>Involuntary</v>
      </c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28"/>
        <v>30</v>
      </c>
      <c r="E930" s="6" t="str" cm="1">
        <f t="array" ref="E930">_xlfn.IFS(D930&lt;=5,"Newcomer",AND(D930&gt;=6,D930&lt;=10),"Proficient",D930&gt;=10,"Expert")</f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29"/>
        <v>Involuntary</v>
      </c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28"/>
        <v>9</v>
      </c>
      <c r="E931" s="6" t="str" cm="1">
        <f t="array" ref="E931">_xlfn.IFS(D931&lt;=5,"Newcomer",AND(D931&gt;=6,D931&lt;=10),"Proficient",D931&gt;=10,"Expert")</f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29"/>
        <v>Involuntary</v>
      </c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28"/>
        <v>18</v>
      </c>
      <c r="E932" s="6" t="str" cm="1">
        <f t="array" ref="E932">_xlfn.IFS(D932&lt;=5,"Newcomer",AND(D932&gt;=6,D932&lt;=10),"Proficient",D932&gt;=10,"Expert")</f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29"/>
        <v>Involuntary</v>
      </c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28"/>
        <v>22</v>
      </c>
      <c r="E933" s="6" t="str" cm="1">
        <f t="array" ref="E933">_xlfn.IFS(D933&lt;=5,"Newcomer",AND(D933&gt;=6,D933&lt;=10),"Proficient",D933&gt;=10,"Expert")</f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29"/>
        <v>Involuntary</v>
      </c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28"/>
        <v>26</v>
      </c>
      <c r="E934" s="6" t="str" cm="1">
        <f t="array" ref="E934">_xlfn.IFS(D934&lt;=5,"Newcomer",AND(D934&gt;=6,D934&lt;=10),"Proficient",D934&gt;=10,"Expert")</f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29"/>
        <v>Involuntary</v>
      </c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28"/>
        <v>26</v>
      </c>
      <c r="E935" s="6" t="str" cm="1">
        <f t="array" ref="E935">_xlfn.IFS(D935&lt;=5,"Newcomer",AND(D935&gt;=6,D935&lt;=10),"Proficient",D935&gt;=10,"Expert")</f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29"/>
        <v>Involuntary</v>
      </c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28"/>
        <v>25</v>
      </c>
      <c r="E936" s="6" t="str" cm="1">
        <f t="array" ref="E936">_xlfn.IFS(D936&lt;=5,"Newcomer",AND(D936&gt;=6,D936&lt;=10),"Proficient",D936&gt;=10,"Expert")</f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29"/>
        <v>Involuntary</v>
      </c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28"/>
        <v>7</v>
      </c>
      <c r="E937" s="6" t="str" cm="1">
        <f t="array" ref="E937">_xlfn.IFS(D937&lt;=5,"Newcomer",AND(D937&gt;=6,D937&lt;=10),"Proficient",D937&gt;=10,"Expert")</f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29"/>
        <v>Involuntary</v>
      </c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28"/>
        <v>16</v>
      </c>
      <c r="E938" s="6" t="str" cm="1">
        <f t="array" ref="E938">_xlfn.IFS(D938&lt;=5,"Newcomer",AND(D938&gt;=6,D938&lt;=10),"Proficient",D938&gt;=10,"Expert")</f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29"/>
        <v>Involuntary</v>
      </c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28"/>
        <v>24</v>
      </c>
      <c r="E939" s="6" t="str" cm="1">
        <f t="array" ref="E939">_xlfn.IFS(D939&lt;=5,"Newcomer",AND(D939&gt;=6,D939&lt;=10),"Proficient",D939&gt;=10,"Expert")</f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29"/>
        <v>Involuntary</v>
      </c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28"/>
        <v>17</v>
      </c>
      <c r="E940" s="6" t="str" cm="1">
        <f t="array" ref="E940">_xlfn.IFS(D940&lt;=5,"Newcomer",AND(D940&gt;=6,D940&lt;=10),"Proficient",D940&gt;=10,"Expert")</f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29"/>
        <v>Involuntary</v>
      </c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28"/>
        <v>8</v>
      </c>
      <c r="E941" s="6" t="str" cm="1">
        <f t="array" ref="E941">_xlfn.IFS(D941&lt;=5,"Newcomer",AND(D941&gt;=6,D941&lt;=10),"Proficient",D941&gt;=10,"Expert")</f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29"/>
        <v>Involuntary</v>
      </c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28"/>
        <v>6</v>
      </c>
      <c r="E942" s="6" t="str" cm="1">
        <f t="array" ref="E942">_xlfn.IFS(D942&lt;=5,"Newcomer",AND(D942&gt;=6,D942&lt;=10),"Proficient",D942&gt;=10,"Expert")</f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29"/>
        <v>Voluntary</v>
      </c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28"/>
        <v>8</v>
      </c>
      <c r="E943" s="6" t="str" cm="1">
        <f t="array" ref="E943">_xlfn.IFS(D943&lt;=5,"Newcomer",AND(D943&gt;=6,D943&lt;=10),"Proficient",D943&gt;=10,"Expert")</f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29"/>
        <v>Involuntary</v>
      </c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28"/>
        <v>28</v>
      </c>
      <c r="E944" s="6" t="str" cm="1">
        <f t="array" ref="E944">_xlfn.IFS(D944&lt;=5,"Newcomer",AND(D944&gt;=6,D944&lt;=10),"Proficient",D944&gt;=10,"Expert")</f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29"/>
        <v>Involuntary</v>
      </c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28"/>
        <v>8</v>
      </c>
      <c r="E945" s="6" t="str" cm="1">
        <f t="array" ref="E945">_xlfn.IFS(D945&lt;=5,"Newcomer",AND(D945&gt;=6,D945&lt;=10),"Proficient",D945&gt;=10,"Expert")</f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29"/>
        <v>Involuntary</v>
      </c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28"/>
        <v>18</v>
      </c>
      <c r="E946" s="6" t="str" cm="1">
        <f t="array" ref="E946">_xlfn.IFS(D946&lt;=5,"Newcomer",AND(D946&gt;=6,D946&lt;=10),"Proficient",D946&gt;=10,"Expert")</f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29"/>
        <v>Involuntary</v>
      </c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28"/>
        <v>24</v>
      </c>
      <c r="E947" s="6" t="str" cm="1">
        <f t="array" ref="E947">_xlfn.IFS(D947&lt;=5,"Newcomer",AND(D947&gt;=6,D947&lt;=10),"Proficient",D947&gt;=10,"Expert")</f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29"/>
        <v>Involuntary</v>
      </c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28"/>
        <v>7</v>
      </c>
      <c r="E948" s="6" t="str" cm="1">
        <f t="array" ref="E948">_xlfn.IFS(D948&lt;=5,"Newcomer",AND(D948&gt;=6,D948&lt;=10),"Proficient",D948&gt;=10,"Expert")</f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29"/>
        <v>Involuntary</v>
      </c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28"/>
        <v>26</v>
      </c>
      <c r="E949" s="6" t="str" cm="1">
        <f t="array" ref="E949">_xlfn.IFS(D949&lt;=5,"Newcomer",AND(D949&gt;=6,D949&lt;=10),"Proficient",D949&gt;=10,"Expert")</f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29"/>
        <v>Voluntary</v>
      </c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28"/>
        <v>13</v>
      </c>
      <c r="E950" s="6" t="str" cm="1">
        <f t="array" ref="E950">_xlfn.IFS(D950&lt;=5,"Newcomer",AND(D950&gt;=6,D950&lt;=10),"Proficient",D950&gt;=10,"Expert")</f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29"/>
        <v>Involuntary</v>
      </c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28"/>
        <v>11</v>
      </c>
      <c r="E951" s="6" t="str" cm="1">
        <f t="array" ref="E951">_xlfn.IFS(D951&lt;=5,"Newcomer",AND(D951&gt;=6,D951&lt;=10),"Proficient",D951&gt;=10,"Expert")</f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29"/>
        <v>Involuntary</v>
      </c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28"/>
        <v>22</v>
      </c>
      <c r="E952" s="6" t="str" cm="1">
        <f t="array" ref="E952">_xlfn.IFS(D952&lt;=5,"Newcomer",AND(D952&gt;=6,D952&lt;=10),"Proficient",D952&gt;=10,"Expert")</f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29"/>
        <v>Involuntary</v>
      </c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28"/>
        <v>15</v>
      </c>
      <c r="E953" s="6" t="str" cm="1">
        <f t="array" ref="E953">_xlfn.IFS(D953&lt;=5,"Newcomer",AND(D953&gt;=6,D953&lt;=10),"Proficient",D953&gt;=10,"Expert")</f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29"/>
        <v>Involuntary</v>
      </c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28"/>
        <v>29</v>
      </c>
      <c r="E954" s="6" t="str" cm="1">
        <f t="array" ref="E954">_xlfn.IFS(D954&lt;=5,"Newcomer",AND(D954&gt;=6,D954&lt;=10),"Proficient",D954&gt;=10,"Expert")</f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29"/>
        <v>Involuntary</v>
      </c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28"/>
        <v>23</v>
      </c>
      <c r="E955" s="6" t="str" cm="1">
        <f t="array" ref="E955">_xlfn.IFS(D955&lt;=5,"Newcomer",AND(D955&gt;=6,D955&lt;=10),"Proficient",D955&gt;=10,"Expert")</f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29"/>
        <v>Involuntary</v>
      </c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28"/>
        <v>20</v>
      </c>
      <c r="E956" s="6" t="str" cm="1">
        <f t="array" ref="E956">_xlfn.IFS(D956&lt;=5,"Newcomer",AND(D956&gt;=6,D956&lt;=10),"Proficient",D956&gt;=10,"Expert")</f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29"/>
        <v>Involuntary</v>
      </c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28"/>
        <v>15</v>
      </c>
      <c r="E957" s="6" t="str" cm="1">
        <f t="array" ref="E957">_xlfn.IFS(D957&lt;=5,"Newcomer",AND(D957&gt;=6,D957&lt;=10),"Proficient",D957&gt;=10,"Expert")</f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29"/>
        <v>Involuntary</v>
      </c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28"/>
        <v>8</v>
      </c>
      <c r="E958" s="6" t="str" cm="1">
        <f t="array" ref="E958">_xlfn.IFS(D958&lt;=5,"Newcomer",AND(D958&gt;=6,D958&lt;=10),"Proficient",D958&gt;=10,"Expert")</f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29"/>
        <v>Voluntary</v>
      </c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28"/>
        <v>8</v>
      </c>
      <c r="E959" s="6" t="str" cm="1">
        <f t="array" ref="E959">_xlfn.IFS(D959&lt;=5,"Newcomer",AND(D959&gt;=6,D959&lt;=10),"Proficient",D959&gt;=10,"Expert")</f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29"/>
        <v>Involuntary</v>
      </c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28"/>
        <v>16</v>
      </c>
      <c r="E960" s="6" t="str" cm="1">
        <f t="array" ref="E960">_xlfn.IFS(D960&lt;=5,"Newcomer",AND(D960&gt;=6,D960&lt;=10),"Proficient",D960&gt;=10,"Expert")</f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29"/>
        <v>Voluntary</v>
      </c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28"/>
        <v>23</v>
      </c>
      <c r="E961" s="6" t="str" cm="1">
        <f t="array" ref="E961">_xlfn.IFS(D961&lt;=5,"Newcomer",AND(D961&gt;=6,D961&lt;=10),"Proficient",D961&gt;=10,"Expert")</f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29"/>
        <v>Involuntary</v>
      </c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28"/>
        <v>19</v>
      </c>
      <c r="E962" s="6" t="str" cm="1">
        <f t="array" ref="E962">_xlfn.IFS(D962&lt;=5,"Newcomer",AND(D962&gt;=6,D962&lt;=10),"Proficient",D962&gt;=10,"Expert")</f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29"/>
        <v>Involuntary</v>
      </c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30">YEAR(C963)-YEAR(B963)</f>
        <v>13</v>
      </c>
      <c r="E963" s="6" t="str" cm="1">
        <f t="array" ref="E963">_xlfn.IFS(D963&lt;=5,"Newcomer",AND(D963&gt;=6,D963&lt;=10),"Proficient",D963&gt;=10,"Expert")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ref="M963:M1026" si="31">IF(OR(L963="Retirement",L963="Resignation"),"Voluntary","Involuntary")</f>
        <v>Involuntary</v>
      </c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30"/>
        <v>8</v>
      </c>
      <c r="E964" s="6" t="str" cm="1">
        <f t="array" ref="E964">_xlfn.IFS(D964&lt;=5,"Newcomer",AND(D964&gt;=6,D964&lt;=10),"Proficient",D964&gt;=10,"Expert")</f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31"/>
        <v>Involuntary</v>
      </c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30"/>
        <v>11</v>
      </c>
      <c r="E965" s="6" t="str" cm="1">
        <f t="array" ref="E965">_xlfn.IFS(D965&lt;=5,"Newcomer",AND(D965&gt;=6,D965&lt;=10),"Proficient",D965&gt;=10,"Expert")</f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31"/>
        <v>Involuntary</v>
      </c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30"/>
        <v>17</v>
      </c>
      <c r="E966" s="6" t="str" cm="1">
        <f t="array" ref="E966">_xlfn.IFS(D966&lt;=5,"Newcomer",AND(D966&gt;=6,D966&lt;=10),"Proficient",D966&gt;=10,"Expert")</f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31"/>
        <v>Involuntary</v>
      </c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30"/>
        <v>8</v>
      </c>
      <c r="E967" s="6" t="str" cm="1">
        <f t="array" ref="E967">_xlfn.IFS(D967&lt;=5,"Newcomer",AND(D967&gt;=6,D967&lt;=10),"Proficient",D967&gt;=10,"Expert")</f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31"/>
        <v>Involuntary</v>
      </c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30"/>
        <v>16</v>
      </c>
      <c r="E968" s="6" t="str" cm="1">
        <f t="array" ref="E968">_xlfn.IFS(D968&lt;=5,"Newcomer",AND(D968&gt;=6,D968&lt;=10),"Proficient",D968&gt;=10,"Expert")</f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31"/>
        <v>Involuntary</v>
      </c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30"/>
        <v>23</v>
      </c>
      <c r="E969" s="6" t="str" cm="1">
        <f t="array" ref="E969">_xlfn.IFS(D969&lt;=5,"Newcomer",AND(D969&gt;=6,D969&lt;=10),"Proficient",D969&gt;=10,"Expert")</f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31"/>
        <v>Involuntary</v>
      </c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30"/>
        <v>20</v>
      </c>
      <c r="E970" s="6" t="str" cm="1">
        <f t="array" ref="E970">_xlfn.IFS(D970&lt;=5,"Newcomer",AND(D970&gt;=6,D970&lt;=10),"Proficient",D970&gt;=10,"Expert")</f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31"/>
        <v>Involuntary</v>
      </c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30"/>
        <v>16</v>
      </c>
      <c r="E971" s="6" t="str" cm="1">
        <f t="array" ref="E971">_xlfn.IFS(D971&lt;=5,"Newcomer",AND(D971&gt;=6,D971&lt;=10),"Proficient",D971&gt;=10,"Expert")</f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31"/>
        <v>Involuntary</v>
      </c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30"/>
        <v>5</v>
      </c>
      <c r="E972" s="6" t="str" cm="1">
        <f t="array" ref="E972">_xlfn.IFS(D972&lt;=5,"Newcomer",AND(D972&gt;=6,D972&lt;=10),"Proficient",D972&gt;=10,"Expert")</f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31"/>
        <v>Involuntary</v>
      </c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30"/>
        <v>5</v>
      </c>
      <c r="E973" s="6" t="str" cm="1">
        <f t="array" ref="E973">_xlfn.IFS(D973&lt;=5,"Newcomer",AND(D973&gt;=6,D973&lt;=10),"Proficient",D973&gt;=10,"Expert")</f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31"/>
        <v>Involuntary</v>
      </c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30"/>
        <v>9</v>
      </c>
      <c r="E974" s="6" t="str" cm="1">
        <f t="array" ref="E974">_xlfn.IFS(D974&lt;=5,"Newcomer",AND(D974&gt;=6,D974&lt;=10),"Proficient",D974&gt;=10,"Expert")</f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31"/>
        <v>Voluntary</v>
      </c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30"/>
        <v>12</v>
      </c>
      <c r="E975" s="6" t="str" cm="1">
        <f t="array" ref="E975">_xlfn.IFS(D975&lt;=5,"Newcomer",AND(D975&gt;=6,D975&lt;=10),"Proficient",D975&gt;=10,"Expert")</f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31"/>
        <v>Involuntary</v>
      </c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30"/>
        <v>26</v>
      </c>
      <c r="E976" s="6" t="str" cm="1">
        <f t="array" ref="E976">_xlfn.IFS(D976&lt;=5,"Newcomer",AND(D976&gt;=6,D976&lt;=10),"Proficient",D976&gt;=10,"Expert")</f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31"/>
        <v>Involuntary</v>
      </c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30"/>
        <v>20</v>
      </c>
      <c r="E977" s="6" t="str" cm="1">
        <f t="array" ref="E977">_xlfn.IFS(D977&lt;=5,"Newcomer",AND(D977&gt;=6,D977&lt;=10),"Proficient",D977&gt;=10,"Expert")</f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31"/>
        <v>Involuntary</v>
      </c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30"/>
        <v>26</v>
      </c>
      <c r="E978" s="6" t="str" cm="1">
        <f t="array" ref="E978">_xlfn.IFS(D978&lt;=5,"Newcomer",AND(D978&gt;=6,D978&lt;=10),"Proficient",D978&gt;=10,"Expert")</f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31"/>
        <v>Involuntary</v>
      </c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30"/>
        <v>13</v>
      </c>
      <c r="E979" s="6" t="str" cm="1">
        <f t="array" ref="E979">_xlfn.IFS(D979&lt;=5,"Newcomer",AND(D979&gt;=6,D979&lt;=10),"Proficient",D979&gt;=10,"Expert")</f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31"/>
        <v>Involuntary</v>
      </c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30"/>
        <v>9</v>
      </c>
      <c r="E980" s="6" t="str" cm="1">
        <f t="array" ref="E980">_xlfn.IFS(D980&lt;=5,"Newcomer",AND(D980&gt;=6,D980&lt;=10),"Proficient",D980&gt;=10,"Expert")</f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31"/>
        <v>Involuntary</v>
      </c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30"/>
        <v>10</v>
      </c>
      <c r="E981" s="6" t="str" cm="1">
        <f t="array" ref="E981">_xlfn.IFS(D981&lt;=5,"Newcomer",AND(D981&gt;=6,D981&lt;=10),"Proficient",D981&gt;=10,"Expert")</f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31"/>
        <v>Involuntary</v>
      </c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30"/>
        <v>14</v>
      </c>
      <c r="E982" s="6" t="str" cm="1">
        <f t="array" ref="E982">_xlfn.IFS(D982&lt;=5,"Newcomer",AND(D982&gt;=6,D982&lt;=10),"Proficient",D982&gt;=10,"Expert")</f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31"/>
        <v>Involuntary</v>
      </c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30"/>
        <v>13</v>
      </c>
      <c r="E983" s="6" t="str" cm="1">
        <f t="array" ref="E983">_xlfn.IFS(D983&lt;=5,"Newcomer",AND(D983&gt;=6,D983&lt;=10),"Proficient",D983&gt;=10,"Expert")</f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31"/>
        <v>Involuntary</v>
      </c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30"/>
        <v>25</v>
      </c>
      <c r="E984" s="6" t="str" cm="1">
        <f t="array" ref="E984">_xlfn.IFS(D984&lt;=5,"Newcomer",AND(D984&gt;=6,D984&lt;=10),"Proficient",D984&gt;=10,"Expert")</f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31"/>
        <v>Involuntary</v>
      </c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30"/>
        <v>21</v>
      </c>
      <c r="E985" s="6" t="str" cm="1">
        <f t="array" ref="E985">_xlfn.IFS(D985&lt;=5,"Newcomer",AND(D985&gt;=6,D985&lt;=10),"Proficient",D985&gt;=10,"Expert")</f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31"/>
        <v>Involuntary</v>
      </c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30"/>
        <v>21</v>
      </c>
      <c r="E986" s="6" t="str" cm="1">
        <f t="array" ref="E986">_xlfn.IFS(D986&lt;=5,"Newcomer",AND(D986&gt;=6,D986&lt;=10),"Proficient",D986&gt;=10,"Expert")</f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31"/>
        <v>Involuntary</v>
      </c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30"/>
        <v>11</v>
      </c>
      <c r="E987" s="6" t="str" cm="1">
        <f t="array" ref="E987">_xlfn.IFS(D987&lt;=5,"Newcomer",AND(D987&gt;=6,D987&lt;=10),"Proficient",D987&gt;=10,"Expert")</f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31"/>
        <v>Involuntary</v>
      </c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30"/>
        <v>15</v>
      </c>
      <c r="E988" s="6" t="str" cm="1">
        <f t="array" ref="E988">_xlfn.IFS(D988&lt;=5,"Newcomer",AND(D988&gt;=6,D988&lt;=10),"Proficient",D988&gt;=10,"Expert")</f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31"/>
        <v>Involuntary</v>
      </c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30"/>
        <v>10</v>
      </c>
      <c r="E989" s="6" t="str" cm="1">
        <f t="array" ref="E989">_xlfn.IFS(D989&lt;=5,"Newcomer",AND(D989&gt;=6,D989&lt;=10),"Proficient",D989&gt;=10,"Expert")</f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31"/>
        <v>Involuntary</v>
      </c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30"/>
        <v>29</v>
      </c>
      <c r="E990" s="6" t="str" cm="1">
        <f t="array" ref="E990">_xlfn.IFS(D990&lt;=5,"Newcomer",AND(D990&gt;=6,D990&lt;=10),"Proficient",D990&gt;=10,"Expert")</f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31"/>
        <v>Involuntary</v>
      </c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30"/>
        <v>29</v>
      </c>
      <c r="E991" s="6" t="str" cm="1">
        <f t="array" ref="E991">_xlfn.IFS(D991&lt;=5,"Newcomer",AND(D991&gt;=6,D991&lt;=10),"Proficient",D991&gt;=10,"Expert")</f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31"/>
        <v>Involuntary</v>
      </c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30"/>
        <v>7</v>
      </c>
      <c r="E992" s="6" t="str" cm="1">
        <f t="array" ref="E992">_xlfn.IFS(D992&lt;=5,"Newcomer",AND(D992&gt;=6,D992&lt;=10),"Proficient",D992&gt;=10,"Expert")</f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31"/>
        <v>Involuntary</v>
      </c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30"/>
        <v>12</v>
      </c>
      <c r="E993" s="6" t="str" cm="1">
        <f t="array" ref="E993">_xlfn.IFS(D993&lt;=5,"Newcomer",AND(D993&gt;=6,D993&lt;=10),"Proficient",D993&gt;=10,"Expert")</f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31"/>
        <v>Involuntary</v>
      </c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30"/>
        <v>27</v>
      </c>
      <c r="E994" s="6" t="str" cm="1">
        <f t="array" ref="E994">_xlfn.IFS(D994&lt;=5,"Newcomer",AND(D994&gt;=6,D994&lt;=10),"Proficient",D994&gt;=10,"Expert")</f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31"/>
        <v>Involuntary</v>
      </c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30"/>
        <v>16</v>
      </c>
      <c r="E995" s="6" t="str" cm="1">
        <f t="array" ref="E995">_xlfn.IFS(D995&lt;=5,"Newcomer",AND(D995&gt;=6,D995&lt;=10),"Proficient",D995&gt;=10,"Expert")</f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31"/>
        <v>Involuntary</v>
      </c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30"/>
        <v>25</v>
      </c>
      <c r="E996" s="6" t="str" cm="1">
        <f t="array" ref="E996">_xlfn.IFS(D996&lt;=5,"Newcomer",AND(D996&gt;=6,D996&lt;=10),"Proficient",D996&gt;=10,"Expert")</f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31"/>
        <v>Involuntary</v>
      </c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30"/>
        <v>23</v>
      </c>
      <c r="E997" s="6" t="str" cm="1">
        <f t="array" ref="E997">_xlfn.IFS(D997&lt;=5,"Newcomer",AND(D997&gt;=6,D997&lt;=10),"Proficient",D997&gt;=10,"Expert")</f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31"/>
        <v>Involuntary</v>
      </c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30"/>
        <v>14</v>
      </c>
      <c r="E998" s="6" t="str" cm="1">
        <f t="array" ref="E998">_xlfn.IFS(D998&lt;=5,"Newcomer",AND(D998&gt;=6,D998&lt;=10),"Proficient",D998&gt;=10,"Expert")</f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31"/>
        <v>Involuntary</v>
      </c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30"/>
        <v>10</v>
      </c>
      <c r="E999" s="6" t="str" cm="1">
        <f t="array" ref="E999">_xlfn.IFS(D999&lt;=5,"Newcomer",AND(D999&gt;=6,D999&lt;=10),"Proficient",D999&gt;=10,"Expert")</f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31"/>
        <v>Involuntary</v>
      </c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30"/>
        <v>28</v>
      </c>
      <c r="E1000" s="6" t="str" cm="1">
        <f t="array" ref="E1000">_xlfn.IFS(D1000&lt;=5,"Newcomer",AND(D1000&gt;=6,D1000&lt;=10),"Proficient",D1000&gt;=10,"Expert")</f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31"/>
        <v>Involuntary</v>
      </c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30"/>
        <v>18</v>
      </c>
      <c r="E1001" s="6" t="str" cm="1">
        <f t="array" ref="E1001">_xlfn.IFS(D1001&lt;=5,"Newcomer",AND(D1001&gt;=6,D1001&lt;=10),"Proficient",D1001&gt;=10,"Expert")</f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31"/>
        <v>Involuntary</v>
      </c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30"/>
        <v>30</v>
      </c>
      <c r="E1002" s="6" t="str" cm="1">
        <f t="array" ref="E1002">_xlfn.IFS(D1002&lt;=5,"Newcomer",AND(D1002&gt;=6,D1002&lt;=10),"Proficient",D1002&gt;=10,"Expert")</f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31"/>
        <v>Involuntary</v>
      </c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30"/>
        <v>17</v>
      </c>
      <c r="E1003" s="6" t="str" cm="1">
        <f t="array" ref="E1003">_xlfn.IFS(D1003&lt;=5,"Newcomer",AND(D1003&gt;=6,D1003&lt;=10),"Proficient",D1003&gt;=10,"Expert")</f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31"/>
        <v>Involuntary</v>
      </c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30"/>
        <v>16</v>
      </c>
      <c r="E1004" s="6" t="str" cm="1">
        <f t="array" ref="E1004">_xlfn.IFS(D1004&lt;=5,"Newcomer",AND(D1004&gt;=6,D1004&lt;=10),"Proficient",D1004&gt;=10,"Expert")</f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31"/>
        <v>Involuntary</v>
      </c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30"/>
        <v>20</v>
      </c>
      <c r="E1005" s="6" t="str" cm="1">
        <f t="array" ref="E1005">_xlfn.IFS(D1005&lt;=5,"Newcomer",AND(D1005&gt;=6,D1005&lt;=10),"Proficient",D1005&gt;=10,"Expert")</f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31"/>
        <v>Involuntary</v>
      </c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30"/>
        <v>22</v>
      </c>
      <c r="E1006" s="6" t="str" cm="1">
        <f t="array" ref="E1006">_xlfn.IFS(D1006&lt;=5,"Newcomer",AND(D1006&gt;=6,D1006&lt;=10),"Proficient",D1006&gt;=10,"Expert")</f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31"/>
        <v>Involuntary</v>
      </c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30"/>
        <v>14</v>
      </c>
      <c r="E1007" s="6" t="str" cm="1">
        <f t="array" ref="E1007">_xlfn.IFS(D1007&lt;=5,"Newcomer",AND(D1007&gt;=6,D1007&lt;=10),"Proficient",D1007&gt;=10,"Expert")</f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31"/>
        <v>Involuntary</v>
      </c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30"/>
        <v>24</v>
      </c>
      <c r="E1008" s="6" t="str" cm="1">
        <f t="array" ref="E1008">_xlfn.IFS(D1008&lt;=5,"Newcomer",AND(D1008&gt;=6,D1008&lt;=10),"Proficient",D1008&gt;=10,"Expert")</f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31"/>
        <v>Involuntary</v>
      </c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30"/>
        <v>23</v>
      </c>
      <c r="E1009" s="6" t="str" cm="1">
        <f t="array" ref="E1009">_xlfn.IFS(D1009&lt;=5,"Newcomer",AND(D1009&gt;=6,D1009&lt;=10),"Proficient",D1009&gt;=10,"Expert")</f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31"/>
        <v>Involuntary</v>
      </c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30"/>
        <v>26</v>
      </c>
      <c r="E1010" s="6" t="str" cm="1">
        <f t="array" ref="E1010">_xlfn.IFS(D1010&lt;=5,"Newcomer",AND(D1010&gt;=6,D1010&lt;=10),"Proficient",D1010&gt;=10,"Expert")</f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31"/>
        <v>Involuntary</v>
      </c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30"/>
        <v>25</v>
      </c>
      <c r="E1011" s="6" t="str" cm="1">
        <f t="array" ref="E1011">_xlfn.IFS(D1011&lt;=5,"Newcomer",AND(D1011&gt;=6,D1011&lt;=10),"Proficient",D1011&gt;=10,"Expert")</f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31"/>
        <v>Involuntary</v>
      </c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30"/>
        <v>27</v>
      </c>
      <c r="E1012" s="6" t="str" cm="1">
        <f t="array" ref="E1012">_xlfn.IFS(D1012&lt;=5,"Newcomer",AND(D1012&gt;=6,D1012&lt;=10),"Proficient",D1012&gt;=10,"Expert")</f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31"/>
        <v>Involuntary</v>
      </c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30"/>
        <v>25</v>
      </c>
      <c r="E1013" s="6" t="str" cm="1">
        <f t="array" ref="E1013">_xlfn.IFS(D1013&lt;=5,"Newcomer",AND(D1013&gt;=6,D1013&lt;=10),"Proficient",D1013&gt;=10,"Expert")</f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31"/>
        <v>Involuntary</v>
      </c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30"/>
        <v>25</v>
      </c>
      <c r="E1014" s="6" t="str" cm="1">
        <f t="array" ref="E1014">_xlfn.IFS(D1014&lt;=5,"Newcomer",AND(D1014&gt;=6,D1014&lt;=10),"Proficient",D1014&gt;=10,"Expert")</f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31"/>
        <v>Involuntary</v>
      </c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30"/>
        <v>16</v>
      </c>
      <c r="E1015" s="6" t="str" cm="1">
        <f t="array" ref="E1015">_xlfn.IFS(D1015&lt;=5,"Newcomer",AND(D1015&gt;=6,D1015&lt;=10),"Proficient",D1015&gt;=10,"Expert")</f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31"/>
        <v>Involuntary</v>
      </c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30"/>
        <v>19</v>
      </c>
      <c r="E1016" s="6" t="str" cm="1">
        <f t="array" ref="E1016">_xlfn.IFS(D1016&lt;=5,"Newcomer",AND(D1016&gt;=6,D1016&lt;=10),"Proficient",D1016&gt;=10,"Expert")</f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31"/>
        <v>Involuntary</v>
      </c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30"/>
        <v>28</v>
      </c>
      <c r="E1017" s="6" t="str" cm="1">
        <f t="array" ref="E1017">_xlfn.IFS(D1017&lt;=5,"Newcomer",AND(D1017&gt;=6,D1017&lt;=10),"Proficient",D1017&gt;=10,"Expert")</f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31"/>
        <v>Involuntary</v>
      </c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30"/>
        <v>13</v>
      </c>
      <c r="E1018" s="6" t="str" cm="1">
        <f t="array" ref="E1018">_xlfn.IFS(D1018&lt;=5,"Newcomer",AND(D1018&gt;=6,D1018&lt;=10),"Proficient",D1018&gt;=10,"Expert")</f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31"/>
        <v>Involuntary</v>
      </c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30"/>
        <v>25</v>
      </c>
      <c r="E1019" s="6" t="str" cm="1">
        <f t="array" ref="E1019">_xlfn.IFS(D1019&lt;=5,"Newcomer",AND(D1019&gt;=6,D1019&lt;=10),"Proficient",D1019&gt;=10,"Expert")</f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31"/>
        <v>Involuntary</v>
      </c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30"/>
        <v>25</v>
      </c>
      <c r="E1020" s="6" t="str" cm="1">
        <f t="array" ref="E1020">_xlfn.IFS(D1020&lt;=5,"Newcomer",AND(D1020&gt;=6,D1020&lt;=10),"Proficient",D1020&gt;=10,"Expert")</f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31"/>
        <v>Involuntary</v>
      </c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30"/>
        <v>28</v>
      </c>
      <c r="E1021" s="6" t="str" cm="1">
        <f t="array" ref="E1021">_xlfn.IFS(D1021&lt;=5,"Newcomer",AND(D1021&gt;=6,D1021&lt;=10),"Proficient",D1021&gt;=10,"Expert")</f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31"/>
        <v>Involuntary</v>
      </c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30"/>
        <v>11</v>
      </c>
      <c r="E1022" s="6" t="str" cm="1">
        <f t="array" ref="E1022">_xlfn.IFS(D1022&lt;=5,"Newcomer",AND(D1022&gt;=6,D1022&lt;=10),"Proficient",D1022&gt;=10,"Expert")</f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31"/>
        <v>Involuntary</v>
      </c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30"/>
        <v>14</v>
      </c>
      <c r="E1023" s="6" t="str" cm="1">
        <f t="array" ref="E1023">_xlfn.IFS(D1023&lt;=5,"Newcomer",AND(D1023&gt;=6,D1023&lt;=10),"Proficient",D1023&gt;=10,"Expert")</f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31"/>
        <v>Involuntary</v>
      </c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30"/>
        <v>19</v>
      </c>
      <c r="E1024" s="6" t="str" cm="1">
        <f t="array" ref="E1024">_xlfn.IFS(D1024&lt;=5,"Newcomer",AND(D1024&gt;=6,D1024&lt;=10),"Proficient",D1024&gt;=10,"Expert")</f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31"/>
        <v>Involuntary</v>
      </c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30"/>
        <v>26</v>
      </c>
      <c r="E1025" s="6" t="str" cm="1">
        <f t="array" ref="E1025">_xlfn.IFS(D1025&lt;=5,"Newcomer",AND(D1025&gt;=6,D1025&lt;=10),"Proficient",D1025&gt;=10,"Expert")</f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31"/>
        <v>Voluntary</v>
      </c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30"/>
        <v>20</v>
      </c>
      <c r="E1026" s="6" t="str" cm="1">
        <f t="array" ref="E1026">_xlfn.IFS(D1026&lt;=5,"Newcomer",AND(D1026&gt;=6,D1026&lt;=10),"Proficient",D1026&gt;=10,"Expert")</f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31"/>
        <v>Voluntary</v>
      </c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32">YEAR(C1027)-YEAR(B1027)</f>
        <v>17</v>
      </c>
      <c r="E1027" s="6" t="str" cm="1">
        <f t="array" ref="E1027">_xlfn.IFS(D1027&lt;=5,"Newcomer",AND(D1027&gt;=6,D1027&lt;=10),"Proficient",D1027&gt;=10,"Expert")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ref="M1027:M1090" si="33">IF(OR(L1027="Retirement",L1027="Resignation"),"Voluntary","Involuntary")</f>
        <v>Voluntary</v>
      </c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32"/>
        <v>11</v>
      </c>
      <c r="E1028" s="6" t="str" cm="1">
        <f t="array" ref="E1028">_xlfn.IFS(D1028&lt;=5,"Newcomer",AND(D1028&gt;=6,D1028&lt;=10),"Proficient",D1028&gt;=10,"Expert")</f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33"/>
        <v>Involuntary</v>
      </c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32"/>
        <v>20</v>
      </c>
      <c r="E1029" s="6" t="str" cm="1">
        <f t="array" ref="E1029">_xlfn.IFS(D1029&lt;=5,"Newcomer",AND(D1029&gt;=6,D1029&lt;=10),"Proficient",D1029&gt;=10,"Expert")</f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33"/>
        <v>Involuntary</v>
      </c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32"/>
        <v>16</v>
      </c>
      <c r="E1030" s="6" t="str" cm="1">
        <f t="array" ref="E1030">_xlfn.IFS(D1030&lt;=5,"Newcomer",AND(D1030&gt;=6,D1030&lt;=10),"Proficient",D1030&gt;=10,"Expert")</f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33"/>
        <v>Voluntary</v>
      </c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32"/>
        <v>14</v>
      </c>
      <c r="E1031" s="6" t="str" cm="1">
        <f t="array" ref="E1031">_xlfn.IFS(D1031&lt;=5,"Newcomer",AND(D1031&gt;=6,D1031&lt;=10),"Proficient",D1031&gt;=10,"Expert")</f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33"/>
        <v>Involuntary</v>
      </c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32"/>
        <v>12</v>
      </c>
      <c r="E1032" s="6" t="str" cm="1">
        <f t="array" ref="E1032">_xlfn.IFS(D1032&lt;=5,"Newcomer",AND(D1032&gt;=6,D1032&lt;=10),"Proficient",D1032&gt;=10,"Expert")</f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33"/>
        <v>Involuntary</v>
      </c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32"/>
        <v>9</v>
      </c>
      <c r="E1033" s="6" t="str" cm="1">
        <f t="array" ref="E1033">_xlfn.IFS(D1033&lt;=5,"Newcomer",AND(D1033&gt;=6,D1033&lt;=10),"Proficient",D1033&gt;=10,"Expert")</f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33"/>
        <v>Involuntary</v>
      </c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32"/>
        <v>23</v>
      </c>
      <c r="E1034" s="6" t="str" cm="1">
        <f t="array" ref="E1034">_xlfn.IFS(D1034&lt;=5,"Newcomer",AND(D1034&gt;=6,D1034&lt;=10),"Proficient",D1034&gt;=10,"Expert")</f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33"/>
        <v>Involuntary</v>
      </c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32"/>
        <v>26</v>
      </c>
      <c r="E1035" s="6" t="str" cm="1">
        <f t="array" ref="E1035">_xlfn.IFS(D1035&lt;=5,"Newcomer",AND(D1035&gt;=6,D1035&lt;=10),"Proficient",D1035&gt;=10,"Expert")</f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33"/>
        <v>Voluntary</v>
      </c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32"/>
        <v>9</v>
      </c>
      <c r="E1036" s="6" t="str" cm="1">
        <f t="array" ref="E1036">_xlfn.IFS(D1036&lt;=5,"Newcomer",AND(D1036&gt;=6,D1036&lt;=10),"Proficient",D1036&gt;=10,"Expert")</f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33"/>
        <v>Involuntary</v>
      </c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32"/>
        <v>29</v>
      </c>
      <c r="E1037" s="6" t="str" cm="1">
        <f t="array" ref="E1037">_xlfn.IFS(D1037&lt;=5,"Newcomer",AND(D1037&gt;=6,D1037&lt;=10),"Proficient",D1037&gt;=10,"Expert")</f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33"/>
        <v>Voluntary</v>
      </c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32"/>
        <v>15</v>
      </c>
      <c r="E1038" s="6" t="str" cm="1">
        <f t="array" ref="E1038">_xlfn.IFS(D1038&lt;=5,"Newcomer",AND(D1038&gt;=6,D1038&lt;=10),"Proficient",D1038&gt;=10,"Expert")</f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33"/>
        <v>Voluntary</v>
      </c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32"/>
        <v>8</v>
      </c>
      <c r="E1039" s="6" t="str" cm="1">
        <f t="array" ref="E1039">_xlfn.IFS(D1039&lt;=5,"Newcomer",AND(D1039&gt;=6,D1039&lt;=10),"Proficient",D1039&gt;=10,"Expert")</f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33"/>
        <v>Voluntary</v>
      </c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32"/>
        <v>29</v>
      </c>
      <c r="E1040" s="6" t="str" cm="1">
        <f t="array" ref="E1040">_xlfn.IFS(D1040&lt;=5,"Newcomer",AND(D1040&gt;=6,D1040&lt;=10),"Proficient",D1040&gt;=10,"Expert")</f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33"/>
        <v>Involuntary</v>
      </c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32"/>
        <v>15</v>
      </c>
      <c r="E1041" s="6" t="str" cm="1">
        <f t="array" ref="E1041">_xlfn.IFS(D1041&lt;=5,"Newcomer",AND(D1041&gt;=6,D1041&lt;=10),"Proficient",D1041&gt;=10,"Expert")</f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33"/>
        <v>Voluntary</v>
      </c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32"/>
        <v>25</v>
      </c>
      <c r="E1042" s="6" t="str" cm="1">
        <f t="array" ref="E1042">_xlfn.IFS(D1042&lt;=5,"Newcomer",AND(D1042&gt;=6,D1042&lt;=10),"Proficient",D1042&gt;=10,"Expert")</f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33"/>
        <v>Voluntary</v>
      </c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32"/>
        <v>18</v>
      </c>
      <c r="E1043" s="6" t="str" cm="1">
        <f t="array" ref="E1043">_xlfn.IFS(D1043&lt;=5,"Newcomer",AND(D1043&gt;=6,D1043&lt;=10),"Proficient",D1043&gt;=10,"Expert")</f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33"/>
        <v>Voluntary</v>
      </c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32"/>
        <v>14</v>
      </c>
      <c r="E1044" s="6" t="str" cm="1">
        <f t="array" ref="E1044">_xlfn.IFS(D1044&lt;=5,"Newcomer",AND(D1044&gt;=6,D1044&lt;=10),"Proficient",D1044&gt;=10,"Expert")</f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33"/>
        <v>Voluntary</v>
      </c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32"/>
        <v>15</v>
      </c>
      <c r="E1045" s="6" t="str" cm="1">
        <f t="array" ref="E1045">_xlfn.IFS(D1045&lt;=5,"Newcomer",AND(D1045&gt;=6,D1045&lt;=10),"Proficient",D1045&gt;=10,"Expert")</f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33"/>
        <v>Involuntary</v>
      </c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32"/>
        <v>8</v>
      </c>
      <c r="E1046" s="6" t="str" cm="1">
        <f t="array" ref="E1046">_xlfn.IFS(D1046&lt;=5,"Newcomer",AND(D1046&gt;=6,D1046&lt;=10),"Proficient",D1046&gt;=10,"Expert")</f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33"/>
        <v>Voluntary</v>
      </c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32"/>
        <v>20</v>
      </c>
      <c r="E1047" s="6" t="str" cm="1">
        <f t="array" ref="E1047">_xlfn.IFS(D1047&lt;=5,"Newcomer",AND(D1047&gt;=6,D1047&lt;=10),"Proficient",D1047&gt;=10,"Expert")</f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33"/>
        <v>Involuntary</v>
      </c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32"/>
        <v>12</v>
      </c>
      <c r="E1048" s="6" t="str" cm="1">
        <f t="array" ref="E1048">_xlfn.IFS(D1048&lt;=5,"Newcomer",AND(D1048&gt;=6,D1048&lt;=10),"Proficient",D1048&gt;=10,"Expert")</f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33"/>
        <v>Voluntary</v>
      </c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32"/>
        <v>23</v>
      </c>
      <c r="E1049" s="6" t="str" cm="1">
        <f t="array" ref="E1049">_xlfn.IFS(D1049&lt;=5,"Newcomer",AND(D1049&gt;=6,D1049&lt;=10),"Proficient",D1049&gt;=10,"Expert")</f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33"/>
        <v>Voluntary</v>
      </c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32"/>
        <v>20</v>
      </c>
      <c r="E1050" s="6" t="str" cm="1">
        <f t="array" ref="E1050">_xlfn.IFS(D1050&lt;=5,"Newcomer",AND(D1050&gt;=6,D1050&lt;=10),"Proficient",D1050&gt;=10,"Expert")</f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33"/>
        <v>Voluntary</v>
      </c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32"/>
        <v>22</v>
      </c>
      <c r="E1051" s="6" t="str" cm="1">
        <f t="array" ref="E1051">_xlfn.IFS(D1051&lt;=5,"Newcomer",AND(D1051&gt;=6,D1051&lt;=10),"Proficient",D1051&gt;=10,"Expert")</f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33"/>
        <v>Voluntary</v>
      </c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32"/>
        <v>21</v>
      </c>
      <c r="E1052" s="6" t="str" cm="1">
        <f t="array" ref="E1052">_xlfn.IFS(D1052&lt;=5,"Newcomer",AND(D1052&gt;=6,D1052&lt;=10),"Proficient",D1052&gt;=10,"Expert")</f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33"/>
        <v>Involuntary</v>
      </c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32"/>
        <v>6</v>
      </c>
      <c r="E1053" s="6" t="str" cm="1">
        <f t="array" ref="E1053">_xlfn.IFS(D1053&lt;=5,"Newcomer",AND(D1053&gt;=6,D1053&lt;=10),"Proficient",D1053&gt;=10,"Expert")</f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33"/>
        <v>Involuntary</v>
      </c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32"/>
        <v>23</v>
      </c>
      <c r="E1054" s="6" t="str" cm="1">
        <f t="array" ref="E1054">_xlfn.IFS(D1054&lt;=5,"Newcomer",AND(D1054&gt;=6,D1054&lt;=10),"Proficient",D1054&gt;=10,"Expert")</f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33"/>
        <v>Voluntary</v>
      </c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32"/>
        <v>8</v>
      </c>
      <c r="E1055" s="6" t="str" cm="1">
        <f t="array" ref="E1055">_xlfn.IFS(D1055&lt;=5,"Newcomer",AND(D1055&gt;=6,D1055&lt;=10),"Proficient",D1055&gt;=10,"Expert")</f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33"/>
        <v>Voluntary</v>
      </c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32"/>
        <v>28</v>
      </c>
      <c r="E1056" s="6" t="str" cm="1">
        <f t="array" ref="E1056">_xlfn.IFS(D1056&lt;=5,"Newcomer",AND(D1056&gt;=6,D1056&lt;=10),"Proficient",D1056&gt;=10,"Expert")</f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33"/>
        <v>Involuntary</v>
      </c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32"/>
        <v>18</v>
      </c>
      <c r="E1057" s="6" t="str" cm="1">
        <f t="array" ref="E1057">_xlfn.IFS(D1057&lt;=5,"Newcomer",AND(D1057&gt;=6,D1057&lt;=10),"Proficient",D1057&gt;=10,"Expert")</f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33"/>
        <v>Voluntary</v>
      </c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32"/>
        <v>10</v>
      </c>
      <c r="E1058" s="6" t="str" cm="1">
        <f t="array" ref="E1058">_xlfn.IFS(D1058&lt;=5,"Newcomer",AND(D1058&gt;=6,D1058&lt;=10),"Proficient",D1058&gt;=10,"Expert")</f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33"/>
        <v>Voluntary</v>
      </c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32"/>
        <v>21</v>
      </c>
      <c r="E1059" s="6" t="str" cm="1">
        <f t="array" ref="E1059">_xlfn.IFS(D1059&lt;=5,"Newcomer",AND(D1059&gt;=6,D1059&lt;=10),"Proficient",D1059&gt;=10,"Expert")</f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33"/>
        <v>Involuntary</v>
      </c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32"/>
        <v>17</v>
      </c>
      <c r="E1060" s="6" t="str" cm="1">
        <f t="array" ref="E1060">_xlfn.IFS(D1060&lt;=5,"Newcomer",AND(D1060&gt;=6,D1060&lt;=10),"Proficient",D1060&gt;=10,"Expert")</f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33"/>
        <v>Involuntary</v>
      </c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32"/>
        <v>18</v>
      </c>
      <c r="E1061" s="6" t="str" cm="1">
        <f t="array" ref="E1061">_xlfn.IFS(D1061&lt;=5,"Newcomer",AND(D1061&gt;=6,D1061&lt;=10),"Proficient",D1061&gt;=10,"Expert")</f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33"/>
        <v>Voluntary</v>
      </c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32"/>
        <v>9</v>
      </c>
      <c r="E1062" s="6" t="str" cm="1">
        <f t="array" ref="E1062">_xlfn.IFS(D1062&lt;=5,"Newcomer",AND(D1062&gt;=6,D1062&lt;=10),"Proficient",D1062&gt;=10,"Expert")</f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33"/>
        <v>Voluntary</v>
      </c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32"/>
        <v>13</v>
      </c>
      <c r="E1063" s="6" t="str" cm="1">
        <f t="array" ref="E1063">_xlfn.IFS(D1063&lt;=5,"Newcomer",AND(D1063&gt;=6,D1063&lt;=10),"Proficient",D1063&gt;=10,"Expert")</f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33"/>
        <v>Voluntary</v>
      </c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32"/>
        <v>9</v>
      </c>
      <c r="E1064" s="6" t="str" cm="1">
        <f t="array" ref="E1064">_xlfn.IFS(D1064&lt;=5,"Newcomer",AND(D1064&gt;=6,D1064&lt;=10),"Proficient",D1064&gt;=10,"Expert")</f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33"/>
        <v>Voluntary</v>
      </c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32"/>
        <v>18</v>
      </c>
      <c r="E1065" s="6" t="str" cm="1">
        <f t="array" ref="E1065">_xlfn.IFS(D1065&lt;=5,"Newcomer",AND(D1065&gt;=6,D1065&lt;=10),"Proficient",D1065&gt;=10,"Expert")</f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33"/>
        <v>Involuntary</v>
      </c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32"/>
        <v>21</v>
      </c>
      <c r="E1066" s="6" t="str" cm="1">
        <f t="array" ref="E1066">_xlfn.IFS(D1066&lt;=5,"Newcomer",AND(D1066&gt;=6,D1066&lt;=10),"Proficient",D1066&gt;=10,"Expert")</f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33"/>
        <v>Voluntary</v>
      </c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32"/>
        <v>6</v>
      </c>
      <c r="E1067" s="6" t="str" cm="1">
        <f t="array" ref="E1067">_xlfn.IFS(D1067&lt;=5,"Newcomer",AND(D1067&gt;=6,D1067&lt;=10),"Proficient",D1067&gt;=10,"Expert")</f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33"/>
        <v>Involuntary</v>
      </c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32"/>
        <v>15</v>
      </c>
      <c r="E1068" s="6" t="str" cm="1">
        <f t="array" ref="E1068">_xlfn.IFS(D1068&lt;=5,"Newcomer",AND(D1068&gt;=6,D1068&lt;=10),"Proficient",D1068&gt;=10,"Expert")</f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33"/>
        <v>Voluntary</v>
      </c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32"/>
        <v>27</v>
      </c>
      <c r="E1069" s="6" t="str" cm="1">
        <f t="array" ref="E1069">_xlfn.IFS(D1069&lt;=5,"Newcomer",AND(D1069&gt;=6,D1069&lt;=10),"Proficient",D1069&gt;=10,"Expert")</f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33"/>
        <v>Voluntary</v>
      </c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32"/>
        <v>18</v>
      </c>
      <c r="E1070" s="6" t="str" cm="1">
        <f t="array" ref="E1070">_xlfn.IFS(D1070&lt;=5,"Newcomer",AND(D1070&gt;=6,D1070&lt;=10),"Proficient",D1070&gt;=10,"Expert")</f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33"/>
        <v>Involuntary</v>
      </c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32"/>
        <v>16</v>
      </c>
      <c r="E1071" s="6" t="str" cm="1">
        <f t="array" ref="E1071">_xlfn.IFS(D1071&lt;=5,"Newcomer",AND(D1071&gt;=6,D1071&lt;=10),"Proficient",D1071&gt;=10,"Expert")</f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33"/>
        <v>Involuntary</v>
      </c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32"/>
        <v>22</v>
      </c>
      <c r="E1072" s="6" t="str" cm="1">
        <f t="array" ref="E1072">_xlfn.IFS(D1072&lt;=5,"Newcomer",AND(D1072&gt;=6,D1072&lt;=10),"Proficient",D1072&gt;=10,"Expert")</f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33"/>
        <v>Voluntary</v>
      </c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32"/>
        <v>6</v>
      </c>
      <c r="E1073" s="6" t="str" cm="1">
        <f t="array" ref="E1073">_xlfn.IFS(D1073&lt;=5,"Newcomer",AND(D1073&gt;=6,D1073&lt;=10),"Proficient",D1073&gt;=10,"Expert")</f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33"/>
        <v>Voluntary</v>
      </c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32"/>
        <v>30</v>
      </c>
      <c r="E1074" s="6" t="str" cm="1">
        <f t="array" ref="E1074">_xlfn.IFS(D1074&lt;=5,"Newcomer",AND(D1074&gt;=6,D1074&lt;=10),"Proficient",D1074&gt;=10,"Expert")</f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33"/>
        <v>Voluntary</v>
      </c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32"/>
        <v>13</v>
      </c>
      <c r="E1075" s="6" t="str" cm="1">
        <f t="array" ref="E1075">_xlfn.IFS(D1075&lt;=5,"Newcomer",AND(D1075&gt;=6,D1075&lt;=10),"Proficient",D1075&gt;=10,"Expert")</f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33"/>
        <v>Voluntary</v>
      </c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32"/>
        <v>21</v>
      </c>
      <c r="E1076" s="6" t="str" cm="1">
        <f t="array" ref="E1076">_xlfn.IFS(D1076&lt;=5,"Newcomer",AND(D1076&gt;=6,D1076&lt;=10),"Proficient",D1076&gt;=10,"Expert")</f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33"/>
        <v>Involuntary</v>
      </c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32"/>
        <v>16</v>
      </c>
      <c r="E1077" s="6" t="str" cm="1">
        <f t="array" ref="E1077">_xlfn.IFS(D1077&lt;=5,"Newcomer",AND(D1077&gt;=6,D1077&lt;=10),"Proficient",D1077&gt;=10,"Expert")</f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33"/>
        <v>Involuntary</v>
      </c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32"/>
        <v>9</v>
      </c>
      <c r="E1078" s="6" t="str" cm="1">
        <f t="array" ref="E1078">_xlfn.IFS(D1078&lt;=5,"Newcomer",AND(D1078&gt;=6,D1078&lt;=10),"Proficient",D1078&gt;=10,"Expert")</f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33"/>
        <v>Voluntary</v>
      </c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32"/>
        <v>5</v>
      </c>
      <c r="E1079" s="6" t="str" cm="1">
        <f t="array" ref="E1079">_xlfn.IFS(D1079&lt;=5,"Newcomer",AND(D1079&gt;=6,D1079&lt;=10),"Proficient",D1079&gt;=10,"Expert")</f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33"/>
        <v>Involuntary</v>
      </c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32"/>
        <v>12</v>
      </c>
      <c r="E1080" s="6" t="str" cm="1">
        <f t="array" ref="E1080">_xlfn.IFS(D1080&lt;=5,"Newcomer",AND(D1080&gt;=6,D1080&lt;=10),"Proficient",D1080&gt;=10,"Expert")</f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33"/>
        <v>Voluntary</v>
      </c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32"/>
        <v>14</v>
      </c>
      <c r="E1081" s="6" t="str" cm="1">
        <f t="array" ref="E1081">_xlfn.IFS(D1081&lt;=5,"Newcomer",AND(D1081&gt;=6,D1081&lt;=10),"Proficient",D1081&gt;=10,"Expert")</f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33"/>
        <v>Voluntary</v>
      </c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32"/>
        <v>28</v>
      </c>
      <c r="E1082" s="6" t="str" cm="1">
        <f t="array" ref="E1082">_xlfn.IFS(D1082&lt;=5,"Newcomer",AND(D1082&gt;=6,D1082&lt;=10),"Proficient",D1082&gt;=10,"Expert")</f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33"/>
        <v>Involuntary</v>
      </c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32"/>
        <v>27</v>
      </c>
      <c r="E1083" s="6" t="str" cm="1">
        <f t="array" ref="E1083">_xlfn.IFS(D1083&lt;=5,"Newcomer",AND(D1083&gt;=6,D1083&lt;=10),"Proficient",D1083&gt;=10,"Expert")</f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33"/>
        <v>Involuntary</v>
      </c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32"/>
        <v>22</v>
      </c>
      <c r="E1084" s="6" t="str" cm="1">
        <f t="array" ref="E1084">_xlfn.IFS(D1084&lt;=5,"Newcomer",AND(D1084&gt;=6,D1084&lt;=10),"Proficient",D1084&gt;=10,"Expert")</f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33"/>
        <v>Voluntary</v>
      </c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32"/>
        <v>13</v>
      </c>
      <c r="E1085" s="6" t="str" cm="1">
        <f t="array" ref="E1085">_xlfn.IFS(D1085&lt;=5,"Newcomer",AND(D1085&gt;=6,D1085&lt;=10),"Proficient",D1085&gt;=10,"Expert")</f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33"/>
        <v>Voluntary</v>
      </c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32"/>
        <v>27</v>
      </c>
      <c r="E1086" s="6" t="str" cm="1">
        <f t="array" ref="E1086">_xlfn.IFS(D1086&lt;=5,"Newcomer",AND(D1086&gt;=6,D1086&lt;=10),"Proficient",D1086&gt;=10,"Expert")</f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33"/>
        <v>Voluntary</v>
      </c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32"/>
        <v>8</v>
      </c>
      <c r="E1087" s="6" t="str" cm="1">
        <f t="array" ref="E1087">_xlfn.IFS(D1087&lt;=5,"Newcomer",AND(D1087&gt;=6,D1087&lt;=10),"Proficient",D1087&gt;=10,"Expert")</f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33"/>
        <v>Involuntary</v>
      </c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32"/>
        <v>7</v>
      </c>
      <c r="E1088" s="6" t="str" cm="1">
        <f t="array" ref="E1088">_xlfn.IFS(D1088&lt;=5,"Newcomer",AND(D1088&gt;=6,D1088&lt;=10),"Proficient",D1088&gt;=10,"Expert")</f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33"/>
        <v>Involuntary</v>
      </c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32"/>
        <v>11</v>
      </c>
      <c r="E1089" s="6" t="str" cm="1">
        <f t="array" ref="E1089">_xlfn.IFS(D1089&lt;=5,"Newcomer",AND(D1089&gt;=6,D1089&lt;=10),"Proficient",D1089&gt;=10,"Expert")</f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33"/>
        <v>Voluntary</v>
      </c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32"/>
        <v>20</v>
      </c>
      <c r="E1090" s="6" t="str" cm="1">
        <f t="array" ref="E1090">_xlfn.IFS(D1090&lt;=5,"Newcomer",AND(D1090&gt;=6,D1090&lt;=10),"Proficient",D1090&gt;=10,"Expert")</f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33"/>
        <v>Involuntary</v>
      </c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34">YEAR(C1091)-YEAR(B1091)</f>
        <v>5</v>
      </c>
      <c r="E1091" s="6" t="str" cm="1">
        <f t="array" ref="E1091">_xlfn.IFS(D1091&lt;=5,"Newcomer",AND(D1091&gt;=6,D1091&lt;=10),"Proficient",D1091&gt;=10,"Expert")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ref="M1091:M1154" si="35">IF(OR(L1091="Retirement",L1091="Resignation"),"Voluntary","Involuntary")</f>
        <v>Involuntary</v>
      </c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34"/>
        <v>21</v>
      </c>
      <c r="E1092" s="6" t="str" cm="1">
        <f t="array" ref="E1092">_xlfn.IFS(D1092&lt;=5,"Newcomer",AND(D1092&gt;=6,D1092&lt;=10),"Proficient",D1092&gt;=10,"Expert")</f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35"/>
        <v>Involuntary</v>
      </c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34"/>
        <v>9</v>
      </c>
      <c r="E1093" s="6" t="str" cm="1">
        <f t="array" ref="E1093">_xlfn.IFS(D1093&lt;=5,"Newcomer",AND(D1093&gt;=6,D1093&lt;=10),"Proficient",D1093&gt;=10,"Expert")</f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35"/>
        <v>Involuntary</v>
      </c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34"/>
        <v>27</v>
      </c>
      <c r="E1094" s="6" t="str" cm="1">
        <f t="array" ref="E1094">_xlfn.IFS(D1094&lt;=5,"Newcomer",AND(D1094&gt;=6,D1094&lt;=10),"Proficient",D1094&gt;=10,"Expert")</f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35"/>
        <v>Involuntary</v>
      </c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34"/>
        <v>25</v>
      </c>
      <c r="E1095" s="6" t="str" cm="1">
        <f t="array" ref="E1095">_xlfn.IFS(D1095&lt;=5,"Newcomer",AND(D1095&gt;=6,D1095&lt;=10),"Proficient",D1095&gt;=10,"Expert")</f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35"/>
        <v>Voluntary</v>
      </c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34"/>
        <v>28</v>
      </c>
      <c r="E1096" s="6" t="str" cm="1">
        <f t="array" ref="E1096">_xlfn.IFS(D1096&lt;=5,"Newcomer",AND(D1096&gt;=6,D1096&lt;=10),"Proficient",D1096&gt;=10,"Expert")</f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35"/>
        <v>Voluntary</v>
      </c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34"/>
        <v>19</v>
      </c>
      <c r="E1097" s="6" t="str" cm="1">
        <f t="array" ref="E1097">_xlfn.IFS(D1097&lt;=5,"Newcomer",AND(D1097&gt;=6,D1097&lt;=10),"Proficient",D1097&gt;=10,"Expert")</f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35"/>
        <v>Involuntary</v>
      </c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34"/>
        <v>29</v>
      </c>
      <c r="E1098" s="6" t="str" cm="1">
        <f t="array" ref="E1098">_xlfn.IFS(D1098&lt;=5,"Newcomer",AND(D1098&gt;=6,D1098&lt;=10),"Proficient",D1098&gt;=10,"Expert")</f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35"/>
        <v>Voluntary</v>
      </c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34"/>
        <v>28</v>
      </c>
      <c r="E1099" s="6" t="str" cm="1">
        <f t="array" ref="E1099">_xlfn.IFS(D1099&lt;=5,"Newcomer",AND(D1099&gt;=6,D1099&lt;=10),"Proficient",D1099&gt;=10,"Expert")</f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35"/>
        <v>Voluntary</v>
      </c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34"/>
        <v>29</v>
      </c>
      <c r="E1100" s="6" t="str" cm="1">
        <f t="array" ref="E1100">_xlfn.IFS(D1100&lt;=5,"Newcomer",AND(D1100&gt;=6,D1100&lt;=10),"Proficient",D1100&gt;=10,"Expert")</f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35"/>
        <v>Voluntary</v>
      </c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34"/>
        <v>24</v>
      </c>
      <c r="E1101" s="6" t="str" cm="1">
        <f t="array" ref="E1101">_xlfn.IFS(D1101&lt;=5,"Newcomer",AND(D1101&gt;=6,D1101&lt;=10),"Proficient",D1101&gt;=10,"Expert")</f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35"/>
        <v>Involuntary</v>
      </c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34"/>
        <v>10</v>
      </c>
      <c r="E1102" s="6" t="str" cm="1">
        <f t="array" ref="E1102">_xlfn.IFS(D1102&lt;=5,"Newcomer",AND(D1102&gt;=6,D1102&lt;=10),"Proficient",D1102&gt;=10,"Expert")</f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35"/>
        <v>Voluntary</v>
      </c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34"/>
        <v>20</v>
      </c>
      <c r="E1103" s="6" t="str" cm="1">
        <f t="array" ref="E1103">_xlfn.IFS(D1103&lt;=5,"Newcomer",AND(D1103&gt;=6,D1103&lt;=10),"Proficient",D1103&gt;=10,"Expert")</f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35"/>
        <v>Voluntary</v>
      </c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34"/>
        <v>15</v>
      </c>
      <c r="E1104" s="6" t="str" cm="1">
        <f t="array" ref="E1104">_xlfn.IFS(D1104&lt;=5,"Newcomer",AND(D1104&gt;=6,D1104&lt;=10),"Proficient",D1104&gt;=10,"Expert")</f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35"/>
        <v>Involuntary</v>
      </c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34"/>
        <v>15</v>
      </c>
      <c r="E1105" s="6" t="str" cm="1">
        <f t="array" ref="E1105">_xlfn.IFS(D1105&lt;=5,"Newcomer",AND(D1105&gt;=6,D1105&lt;=10),"Proficient",D1105&gt;=10,"Expert")</f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35"/>
        <v>Voluntary</v>
      </c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34"/>
        <v>24</v>
      </c>
      <c r="E1106" s="6" t="str" cm="1">
        <f t="array" ref="E1106">_xlfn.IFS(D1106&lt;=5,"Newcomer",AND(D1106&gt;=6,D1106&lt;=10),"Proficient",D1106&gt;=10,"Expert")</f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35"/>
        <v>Voluntary</v>
      </c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34"/>
        <v>6</v>
      </c>
      <c r="E1107" s="6" t="str" cm="1">
        <f t="array" ref="E1107">_xlfn.IFS(D1107&lt;=5,"Newcomer",AND(D1107&gt;=6,D1107&lt;=10),"Proficient",D1107&gt;=10,"Expert")</f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35"/>
        <v>Involuntary</v>
      </c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34"/>
        <v>14</v>
      </c>
      <c r="E1108" s="6" t="str" cm="1">
        <f t="array" ref="E1108">_xlfn.IFS(D1108&lt;=5,"Newcomer",AND(D1108&gt;=6,D1108&lt;=10),"Proficient",D1108&gt;=10,"Expert")</f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35"/>
        <v>Voluntary</v>
      </c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34"/>
        <v>5</v>
      </c>
      <c r="E1109" s="6" t="str" cm="1">
        <f t="array" ref="E1109">_xlfn.IFS(D1109&lt;=5,"Newcomer",AND(D1109&gt;=6,D1109&lt;=10),"Proficient",D1109&gt;=10,"Expert")</f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35"/>
        <v>Voluntary</v>
      </c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34"/>
        <v>17</v>
      </c>
      <c r="E1110" s="6" t="str" cm="1">
        <f t="array" ref="E1110">_xlfn.IFS(D1110&lt;=5,"Newcomer",AND(D1110&gt;=6,D1110&lt;=10),"Proficient",D1110&gt;=10,"Expert")</f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35"/>
        <v>Voluntary</v>
      </c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34"/>
        <v>30</v>
      </c>
      <c r="E1111" s="6" t="str" cm="1">
        <f t="array" ref="E1111">_xlfn.IFS(D1111&lt;=5,"Newcomer",AND(D1111&gt;=6,D1111&lt;=10),"Proficient",D1111&gt;=10,"Expert")</f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35"/>
        <v>Involuntary</v>
      </c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34"/>
        <v>8</v>
      </c>
      <c r="E1112" s="6" t="str" cm="1">
        <f t="array" ref="E1112">_xlfn.IFS(D1112&lt;=5,"Newcomer",AND(D1112&gt;=6,D1112&lt;=10),"Proficient",D1112&gt;=10,"Expert")</f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35"/>
        <v>Involuntary</v>
      </c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34"/>
        <v>8</v>
      </c>
      <c r="E1113" s="6" t="str" cm="1">
        <f t="array" ref="E1113">_xlfn.IFS(D1113&lt;=5,"Newcomer",AND(D1113&gt;=6,D1113&lt;=10),"Proficient",D1113&gt;=10,"Expert")</f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35"/>
        <v>Involuntary</v>
      </c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34"/>
        <v>19</v>
      </c>
      <c r="E1114" s="6" t="str" cm="1">
        <f t="array" ref="E1114">_xlfn.IFS(D1114&lt;=5,"Newcomer",AND(D1114&gt;=6,D1114&lt;=10),"Proficient",D1114&gt;=10,"Expert")</f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35"/>
        <v>Voluntary</v>
      </c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34"/>
        <v>15</v>
      </c>
      <c r="E1115" s="6" t="str" cm="1">
        <f t="array" ref="E1115">_xlfn.IFS(D1115&lt;=5,"Newcomer",AND(D1115&gt;=6,D1115&lt;=10),"Proficient",D1115&gt;=10,"Expert")</f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35"/>
        <v>Involuntary</v>
      </c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34"/>
        <v>8</v>
      </c>
      <c r="E1116" s="6" t="str" cm="1">
        <f t="array" ref="E1116">_xlfn.IFS(D1116&lt;=5,"Newcomer",AND(D1116&gt;=6,D1116&lt;=10),"Proficient",D1116&gt;=10,"Expert")</f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35"/>
        <v>Voluntary</v>
      </c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34"/>
        <v>21</v>
      </c>
      <c r="E1117" s="6" t="str" cm="1">
        <f t="array" ref="E1117">_xlfn.IFS(D1117&lt;=5,"Newcomer",AND(D1117&gt;=6,D1117&lt;=10),"Proficient",D1117&gt;=10,"Expert")</f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35"/>
        <v>Involuntary</v>
      </c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34"/>
        <v>15</v>
      </c>
      <c r="E1118" s="6" t="str" cm="1">
        <f t="array" ref="E1118">_xlfn.IFS(D1118&lt;=5,"Newcomer",AND(D1118&gt;=6,D1118&lt;=10),"Proficient",D1118&gt;=10,"Expert")</f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35"/>
        <v>Involuntary</v>
      </c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34"/>
        <v>24</v>
      </c>
      <c r="E1119" s="6" t="str" cm="1">
        <f t="array" ref="E1119">_xlfn.IFS(D1119&lt;=5,"Newcomer",AND(D1119&gt;=6,D1119&lt;=10),"Proficient",D1119&gt;=10,"Expert")</f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35"/>
        <v>Involuntary</v>
      </c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34"/>
        <v>21</v>
      </c>
      <c r="E1120" s="6" t="str" cm="1">
        <f t="array" ref="E1120">_xlfn.IFS(D1120&lt;=5,"Newcomer",AND(D1120&gt;=6,D1120&lt;=10),"Proficient",D1120&gt;=10,"Expert")</f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35"/>
        <v>Voluntary</v>
      </c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34"/>
        <v>21</v>
      </c>
      <c r="E1121" s="6" t="str" cm="1">
        <f t="array" ref="E1121">_xlfn.IFS(D1121&lt;=5,"Newcomer",AND(D1121&gt;=6,D1121&lt;=10),"Proficient",D1121&gt;=10,"Expert")</f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35"/>
        <v>Involuntary</v>
      </c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34"/>
        <v>30</v>
      </c>
      <c r="E1122" s="6" t="str" cm="1">
        <f t="array" ref="E1122">_xlfn.IFS(D1122&lt;=5,"Newcomer",AND(D1122&gt;=6,D1122&lt;=10),"Proficient",D1122&gt;=10,"Expert")</f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35"/>
        <v>Voluntary</v>
      </c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34"/>
        <v>26</v>
      </c>
      <c r="E1123" s="6" t="str" cm="1">
        <f t="array" ref="E1123">_xlfn.IFS(D1123&lt;=5,"Newcomer",AND(D1123&gt;=6,D1123&lt;=10),"Proficient",D1123&gt;=10,"Expert")</f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35"/>
        <v>Involuntary</v>
      </c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34"/>
        <v>17</v>
      </c>
      <c r="E1124" s="6" t="str" cm="1">
        <f t="array" ref="E1124">_xlfn.IFS(D1124&lt;=5,"Newcomer",AND(D1124&gt;=6,D1124&lt;=10),"Proficient",D1124&gt;=10,"Expert")</f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35"/>
        <v>Involuntary</v>
      </c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34"/>
        <v>10</v>
      </c>
      <c r="E1125" s="6" t="str" cm="1">
        <f t="array" ref="E1125">_xlfn.IFS(D1125&lt;=5,"Newcomer",AND(D1125&gt;=6,D1125&lt;=10),"Proficient",D1125&gt;=10,"Expert")</f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35"/>
        <v>Voluntary</v>
      </c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34"/>
        <v>16</v>
      </c>
      <c r="E1126" s="6" t="str" cm="1">
        <f t="array" ref="E1126">_xlfn.IFS(D1126&lt;=5,"Newcomer",AND(D1126&gt;=6,D1126&lt;=10),"Proficient",D1126&gt;=10,"Expert")</f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35"/>
        <v>Voluntary</v>
      </c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34"/>
        <v>11</v>
      </c>
      <c r="E1127" s="6" t="str" cm="1">
        <f t="array" ref="E1127">_xlfn.IFS(D1127&lt;=5,"Newcomer",AND(D1127&gt;=6,D1127&lt;=10),"Proficient",D1127&gt;=10,"Expert")</f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35"/>
        <v>Voluntary</v>
      </c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34"/>
        <v>11</v>
      </c>
      <c r="E1128" s="6" t="str" cm="1">
        <f t="array" ref="E1128">_xlfn.IFS(D1128&lt;=5,"Newcomer",AND(D1128&gt;=6,D1128&lt;=10),"Proficient",D1128&gt;=10,"Expert")</f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35"/>
        <v>Voluntary</v>
      </c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34"/>
        <v>25</v>
      </c>
      <c r="E1129" s="6" t="str" cm="1">
        <f t="array" ref="E1129">_xlfn.IFS(D1129&lt;=5,"Newcomer",AND(D1129&gt;=6,D1129&lt;=10),"Proficient",D1129&gt;=10,"Expert")</f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35"/>
        <v>Voluntary</v>
      </c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34"/>
        <v>7</v>
      </c>
      <c r="E1130" s="6" t="str" cm="1">
        <f t="array" ref="E1130">_xlfn.IFS(D1130&lt;=5,"Newcomer",AND(D1130&gt;=6,D1130&lt;=10),"Proficient",D1130&gt;=10,"Expert")</f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35"/>
        <v>Voluntary</v>
      </c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34"/>
        <v>15</v>
      </c>
      <c r="E1131" s="6" t="str" cm="1">
        <f t="array" ref="E1131">_xlfn.IFS(D1131&lt;=5,"Newcomer",AND(D1131&gt;=6,D1131&lt;=10),"Proficient",D1131&gt;=10,"Expert")</f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35"/>
        <v>Involuntary</v>
      </c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34"/>
        <v>7</v>
      </c>
      <c r="E1132" s="6" t="str" cm="1">
        <f t="array" ref="E1132">_xlfn.IFS(D1132&lt;=5,"Newcomer",AND(D1132&gt;=6,D1132&lt;=10),"Proficient",D1132&gt;=10,"Expert")</f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35"/>
        <v>Involuntary</v>
      </c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34"/>
        <v>25</v>
      </c>
      <c r="E1133" s="6" t="str" cm="1">
        <f t="array" ref="E1133">_xlfn.IFS(D1133&lt;=5,"Newcomer",AND(D1133&gt;=6,D1133&lt;=10),"Proficient",D1133&gt;=10,"Expert")</f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35"/>
        <v>Involuntary</v>
      </c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34"/>
        <v>21</v>
      </c>
      <c r="E1134" s="6" t="str" cm="1">
        <f t="array" ref="E1134">_xlfn.IFS(D1134&lt;=5,"Newcomer",AND(D1134&gt;=6,D1134&lt;=10),"Proficient",D1134&gt;=10,"Expert")</f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35"/>
        <v>Voluntary</v>
      </c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34"/>
        <v>6</v>
      </c>
      <c r="E1135" s="6" t="str" cm="1">
        <f t="array" ref="E1135">_xlfn.IFS(D1135&lt;=5,"Newcomer",AND(D1135&gt;=6,D1135&lt;=10),"Proficient",D1135&gt;=10,"Expert")</f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35"/>
        <v>Involuntary</v>
      </c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34"/>
        <v>14</v>
      </c>
      <c r="E1136" s="6" t="str" cm="1">
        <f t="array" ref="E1136">_xlfn.IFS(D1136&lt;=5,"Newcomer",AND(D1136&gt;=6,D1136&lt;=10),"Proficient",D1136&gt;=10,"Expert")</f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35"/>
        <v>Voluntary</v>
      </c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34"/>
        <v>20</v>
      </c>
      <c r="E1137" s="6" t="str" cm="1">
        <f t="array" ref="E1137">_xlfn.IFS(D1137&lt;=5,"Newcomer",AND(D1137&gt;=6,D1137&lt;=10),"Proficient",D1137&gt;=10,"Expert")</f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35"/>
        <v>Involuntary</v>
      </c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34"/>
        <v>11</v>
      </c>
      <c r="E1138" s="6" t="str" cm="1">
        <f t="array" ref="E1138">_xlfn.IFS(D1138&lt;=5,"Newcomer",AND(D1138&gt;=6,D1138&lt;=10),"Proficient",D1138&gt;=10,"Expert")</f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35"/>
        <v>Involuntary</v>
      </c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34"/>
        <v>13</v>
      </c>
      <c r="E1139" s="6" t="str" cm="1">
        <f t="array" ref="E1139">_xlfn.IFS(D1139&lt;=5,"Newcomer",AND(D1139&gt;=6,D1139&lt;=10),"Proficient",D1139&gt;=10,"Expert")</f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35"/>
        <v>Voluntary</v>
      </c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34"/>
        <v>17</v>
      </c>
      <c r="E1140" s="6" t="str" cm="1">
        <f t="array" ref="E1140">_xlfn.IFS(D1140&lt;=5,"Newcomer",AND(D1140&gt;=6,D1140&lt;=10),"Proficient",D1140&gt;=10,"Expert")</f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35"/>
        <v>Involuntary</v>
      </c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34"/>
        <v>26</v>
      </c>
      <c r="E1141" s="6" t="str" cm="1">
        <f t="array" ref="E1141">_xlfn.IFS(D1141&lt;=5,"Newcomer",AND(D1141&gt;=6,D1141&lt;=10),"Proficient",D1141&gt;=10,"Expert")</f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35"/>
        <v>Voluntary</v>
      </c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34"/>
        <v>10</v>
      </c>
      <c r="E1142" s="6" t="str" cm="1">
        <f t="array" ref="E1142">_xlfn.IFS(D1142&lt;=5,"Newcomer",AND(D1142&gt;=6,D1142&lt;=10),"Proficient",D1142&gt;=10,"Expert")</f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35"/>
        <v>Voluntary</v>
      </c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34"/>
        <v>19</v>
      </c>
      <c r="E1143" s="6" t="str" cm="1">
        <f t="array" ref="E1143">_xlfn.IFS(D1143&lt;=5,"Newcomer",AND(D1143&gt;=6,D1143&lt;=10),"Proficient",D1143&gt;=10,"Expert")</f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35"/>
        <v>Involuntary</v>
      </c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34"/>
        <v>29</v>
      </c>
      <c r="E1144" s="6" t="str" cm="1">
        <f t="array" ref="E1144">_xlfn.IFS(D1144&lt;=5,"Newcomer",AND(D1144&gt;=6,D1144&lt;=10),"Proficient",D1144&gt;=10,"Expert")</f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35"/>
        <v>Voluntary</v>
      </c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34"/>
        <v>16</v>
      </c>
      <c r="E1145" s="6" t="str" cm="1">
        <f t="array" ref="E1145">_xlfn.IFS(D1145&lt;=5,"Newcomer",AND(D1145&gt;=6,D1145&lt;=10),"Proficient",D1145&gt;=10,"Expert")</f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35"/>
        <v>Voluntary</v>
      </c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34"/>
        <v>19</v>
      </c>
      <c r="E1146" s="6" t="str" cm="1">
        <f t="array" ref="E1146">_xlfn.IFS(D1146&lt;=5,"Newcomer",AND(D1146&gt;=6,D1146&lt;=10),"Proficient",D1146&gt;=10,"Expert")</f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35"/>
        <v>Voluntary</v>
      </c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34"/>
        <v>29</v>
      </c>
      <c r="E1147" s="6" t="str" cm="1">
        <f t="array" ref="E1147">_xlfn.IFS(D1147&lt;=5,"Newcomer",AND(D1147&gt;=6,D1147&lt;=10),"Proficient",D1147&gt;=10,"Expert")</f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35"/>
        <v>Voluntary</v>
      </c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34"/>
        <v>22</v>
      </c>
      <c r="E1148" s="6" t="str" cm="1">
        <f t="array" ref="E1148">_xlfn.IFS(D1148&lt;=5,"Newcomer",AND(D1148&gt;=6,D1148&lt;=10),"Proficient",D1148&gt;=10,"Expert")</f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35"/>
        <v>Involuntary</v>
      </c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34"/>
        <v>24</v>
      </c>
      <c r="E1149" s="6" t="str" cm="1">
        <f t="array" ref="E1149">_xlfn.IFS(D1149&lt;=5,"Newcomer",AND(D1149&gt;=6,D1149&lt;=10),"Proficient",D1149&gt;=10,"Expert")</f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35"/>
        <v>Involuntary</v>
      </c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34"/>
        <v>20</v>
      </c>
      <c r="E1150" s="6" t="str" cm="1">
        <f t="array" ref="E1150">_xlfn.IFS(D1150&lt;=5,"Newcomer",AND(D1150&gt;=6,D1150&lt;=10),"Proficient",D1150&gt;=10,"Expert")</f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35"/>
        <v>Involuntary</v>
      </c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34"/>
        <v>7</v>
      </c>
      <c r="E1151" s="6" t="str" cm="1">
        <f t="array" ref="E1151">_xlfn.IFS(D1151&lt;=5,"Newcomer",AND(D1151&gt;=6,D1151&lt;=10),"Proficient",D1151&gt;=10,"Expert")</f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35"/>
        <v>Voluntary</v>
      </c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34"/>
        <v>9</v>
      </c>
      <c r="E1152" s="6" t="str" cm="1">
        <f t="array" ref="E1152">_xlfn.IFS(D1152&lt;=5,"Newcomer",AND(D1152&gt;=6,D1152&lt;=10),"Proficient",D1152&gt;=10,"Expert")</f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35"/>
        <v>Voluntary</v>
      </c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34"/>
        <v>24</v>
      </c>
      <c r="E1153" s="6" t="str" cm="1">
        <f t="array" ref="E1153">_xlfn.IFS(D1153&lt;=5,"Newcomer",AND(D1153&gt;=6,D1153&lt;=10),"Proficient",D1153&gt;=10,"Expert")</f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35"/>
        <v>Voluntary</v>
      </c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34"/>
        <v>17</v>
      </c>
      <c r="E1154" s="6" t="str" cm="1">
        <f t="array" ref="E1154">_xlfn.IFS(D1154&lt;=5,"Newcomer",AND(D1154&gt;=6,D1154&lt;=10),"Proficient",D1154&gt;=10,"Expert")</f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35"/>
        <v>Voluntary</v>
      </c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36">YEAR(C1155)-YEAR(B1155)</f>
        <v>30</v>
      </c>
      <c r="E1155" s="6" t="str" cm="1">
        <f t="array" ref="E1155">_xlfn.IFS(D1155&lt;=5,"Newcomer",AND(D1155&gt;=6,D1155&lt;=10),"Proficient",D1155&gt;=10,"Expert")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ref="M1155:M1218" si="37">IF(OR(L1155="Retirement",L1155="Resignation"),"Voluntary","Involuntary")</f>
        <v>Voluntary</v>
      </c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36"/>
        <v>21</v>
      </c>
      <c r="E1156" s="6" t="str" cm="1">
        <f t="array" ref="E1156">_xlfn.IFS(D1156&lt;=5,"Newcomer",AND(D1156&gt;=6,D1156&lt;=10),"Proficient",D1156&gt;=10,"Expert")</f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37"/>
        <v>Voluntary</v>
      </c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36"/>
        <v>19</v>
      </c>
      <c r="E1157" s="6" t="str" cm="1">
        <f t="array" ref="E1157">_xlfn.IFS(D1157&lt;=5,"Newcomer",AND(D1157&gt;=6,D1157&lt;=10),"Proficient",D1157&gt;=10,"Expert")</f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37"/>
        <v>Voluntary</v>
      </c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36"/>
        <v>11</v>
      </c>
      <c r="E1158" s="6" t="str" cm="1">
        <f t="array" ref="E1158">_xlfn.IFS(D1158&lt;=5,"Newcomer",AND(D1158&gt;=6,D1158&lt;=10),"Proficient",D1158&gt;=10,"Expert")</f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37"/>
        <v>Voluntary</v>
      </c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36"/>
        <v>8</v>
      </c>
      <c r="E1159" s="6" t="str" cm="1">
        <f t="array" ref="E1159">_xlfn.IFS(D1159&lt;=5,"Newcomer",AND(D1159&gt;=6,D1159&lt;=10),"Proficient",D1159&gt;=10,"Expert")</f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37"/>
        <v>Voluntary</v>
      </c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36"/>
        <v>13</v>
      </c>
      <c r="E1160" s="6" t="str" cm="1">
        <f t="array" ref="E1160">_xlfn.IFS(D1160&lt;=5,"Newcomer",AND(D1160&gt;=6,D1160&lt;=10),"Proficient",D1160&gt;=10,"Expert")</f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37"/>
        <v>Voluntary</v>
      </c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36"/>
        <v>24</v>
      </c>
      <c r="E1161" s="6" t="str" cm="1">
        <f t="array" ref="E1161">_xlfn.IFS(D1161&lt;=5,"Newcomer",AND(D1161&gt;=6,D1161&lt;=10),"Proficient",D1161&gt;=10,"Expert")</f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37"/>
        <v>Voluntary</v>
      </c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36"/>
        <v>29</v>
      </c>
      <c r="E1162" s="6" t="str" cm="1">
        <f t="array" ref="E1162">_xlfn.IFS(D1162&lt;=5,"Newcomer",AND(D1162&gt;=6,D1162&lt;=10),"Proficient",D1162&gt;=10,"Expert")</f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37"/>
        <v>Involuntary</v>
      </c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36"/>
        <v>14</v>
      </c>
      <c r="E1163" s="6" t="str" cm="1">
        <f t="array" ref="E1163">_xlfn.IFS(D1163&lt;=5,"Newcomer",AND(D1163&gt;=6,D1163&lt;=10),"Proficient",D1163&gt;=10,"Expert")</f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37"/>
        <v>Voluntary</v>
      </c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36"/>
        <v>27</v>
      </c>
      <c r="E1164" s="6" t="str" cm="1">
        <f t="array" ref="E1164">_xlfn.IFS(D1164&lt;=5,"Newcomer",AND(D1164&gt;=6,D1164&lt;=10),"Proficient",D1164&gt;=10,"Expert")</f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37"/>
        <v>Voluntary</v>
      </c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36"/>
        <v>8</v>
      </c>
      <c r="E1165" s="6" t="str" cm="1">
        <f t="array" ref="E1165">_xlfn.IFS(D1165&lt;=5,"Newcomer",AND(D1165&gt;=6,D1165&lt;=10),"Proficient",D1165&gt;=10,"Expert")</f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37"/>
        <v>Involuntary</v>
      </c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36"/>
        <v>18</v>
      </c>
      <c r="E1166" s="6" t="str" cm="1">
        <f t="array" ref="E1166">_xlfn.IFS(D1166&lt;=5,"Newcomer",AND(D1166&gt;=6,D1166&lt;=10),"Proficient",D1166&gt;=10,"Expert")</f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37"/>
        <v>Voluntary</v>
      </c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36"/>
        <v>28</v>
      </c>
      <c r="E1167" s="6" t="str" cm="1">
        <f t="array" ref="E1167">_xlfn.IFS(D1167&lt;=5,"Newcomer",AND(D1167&gt;=6,D1167&lt;=10),"Proficient",D1167&gt;=10,"Expert")</f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37"/>
        <v>Involuntary</v>
      </c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36"/>
        <v>9</v>
      </c>
      <c r="E1168" s="6" t="str" cm="1">
        <f t="array" ref="E1168">_xlfn.IFS(D1168&lt;=5,"Newcomer",AND(D1168&gt;=6,D1168&lt;=10),"Proficient",D1168&gt;=10,"Expert")</f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37"/>
        <v>Voluntary</v>
      </c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36"/>
        <v>26</v>
      </c>
      <c r="E1169" s="6" t="str" cm="1">
        <f t="array" ref="E1169">_xlfn.IFS(D1169&lt;=5,"Newcomer",AND(D1169&gt;=6,D1169&lt;=10),"Proficient",D1169&gt;=10,"Expert")</f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37"/>
        <v>Voluntary</v>
      </c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36"/>
        <v>23</v>
      </c>
      <c r="E1170" s="6" t="str" cm="1">
        <f t="array" ref="E1170">_xlfn.IFS(D1170&lt;=5,"Newcomer",AND(D1170&gt;=6,D1170&lt;=10),"Proficient",D1170&gt;=10,"Expert")</f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37"/>
        <v>Voluntary</v>
      </c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36"/>
        <v>20</v>
      </c>
      <c r="E1171" s="6" t="str" cm="1">
        <f t="array" ref="E1171">_xlfn.IFS(D1171&lt;=5,"Newcomer",AND(D1171&gt;=6,D1171&lt;=10),"Proficient",D1171&gt;=10,"Expert")</f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37"/>
        <v>Voluntary</v>
      </c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36"/>
        <v>24</v>
      </c>
      <c r="E1172" s="6" t="str" cm="1">
        <f t="array" ref="E1172">_xlfn.IFS(D1172&lt;=5,"Newcomer",AND(D1172&gt;=6,D1172&lt;=10),"Proficient",D1172&gt;=10,"Expert")</f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37"/>
        <v>Voluntary</v>
      </c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36"/>
        <v>15</v>
      </c>
      <c r="E1173" s="6" t="str" cm="1">
        <f t="array" ref="E1173">_xlfn.IFS(D1173&lt;=5,"Newcomer",AND(D1173&gt;=6,D1173&lt;=10),"Proficient",D1173&gt;=10,"Expert")</f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37"/>
        <v>Voluntary</v>
      </c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36"/>
        <v>29</v>
      </c>
      <c r="E1174" s="6" t="str" cm="1">
        <f t="array" ref="E1174">_xlfn.IFS(D1174&lt;=5,"Newcomer",AND(D1174&gt;=6,D1174&lt;=10),"Proficient",D1174&gt;=10,"Expert")</f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37"/>
        <v>Voluntary</v>
      </c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36"/>
        <v>22</v>
      </c>
      <c r="E1175" s="6" t="str" cm="1">
        <f t="array" ref="E1175">_xlfn.IFS(D1175&lt;=5,"Newcomer",AND(D1175&gt;=6,D1175&lt;=10),"Proficient",D1175&gt;=10,"Expert")</f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37"/>
        <v>Voluntary</v>
      </c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36"/>
        <v>11</v>
      </c>
      <c r="E1176" s="6" t="str" cm="1">
        <f t="array" ref="E1176">_xlfn.IFS(D1176&lt;=5,"Newcomer",AND(D1176&gt;=6,D1176&lt;=10),"Proficient",D1176&gt;=10,"Expert")</f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37"/>
        <v>Voluntary</v>
      </c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36"/>
        <v>25</v>
      </c>
      <c r="E1177" s="6" t="str" cm="1">
        <f t="array" ref="E1177">_xlfn.IFS(D1177&lt;=5,"Newcomer",AND(D1177&gt;=6,D1177&lt;=10),"Proficient",D1177&gt;=10,"Expert")</f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37"/>
        <v>Voluntary</v>
      </c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36"/>
        <v>19</v>
      </c>
      <c r="E1178" s="6" t="str" cm="1">
        <f t="array" ref="E1178">_xlfn.IFS(D1178&lt;=5,"Newcomer",AND(D1178&gt;=6,D1178&lt;=10),"Proficient",D1178&gt;=10,"Expert")</f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37"/>
        <v>Involuntary</v>
      </c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36"/>
        <v>24</v>
      </c>
      <c r="E1179" s="6" t="str" cm="1">
        <f t="array" ref="E1179">_xlfn.IFS(D1179&lt;=5,"Newcomer",AND(D1179&gt;=6,D1179&lt;=10),"Proficient",D1179&gt;=10,"Expert")</f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37"/>
        <v>Voluntary</v>
      </c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36"/>
        <v>19</v>
      </c>
      <c r="E1180" s="6" t="str" cm="1">
        <f t="array" ref="E1180">_xlfn.IFS(D1180&lt;=5,"Newcomer",AND(D1180&gt;=6,D1180&lt;=10),"Proficient",D1180&gt;=10,"Expert")</f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37"/>
        <v>Voluntary</v>
      </c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36"/>
        <v>27</v>
      </c>
      <c r="E1181" s="6" t="str" cm="1">
        <f t="array" ref="E1181">_xlfn.IFS(D1181&lt;=5,"Newcomer",AND(D1181&gt;=6,D1181&lt;=10),"Proficient",D1181&gt;=10,"Expert")</f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37"/>
        <v>Voluntary</v>
      </c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36"/>
        <v>24</v>
      </c>
      <c r="E1182" s="6" t="str" cm="1">
        <f t="array" ref="E1182">_xlfn.IFS(D1182&lt;=5,"Newcomer",AND(D1182&gt;=6,D1182&lt;=10),"Proficient",D1182&gt;=10,"Expert")</f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37"/>
        <v>Involuntary</v>
      </c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36"/>
        <v>20</v>
      </c>
      <c r="E1183" s="6" t="str" cm="1">
        <f t="array" ref="E1183">_xlfn.IFS(D1183&lt;=5,"Newcomer",AND(D1183&gt;=6,D1183&lt;=10),"Proficient",D1183&gt;=10,"Expert")</f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37"/>
        <v>Voluntary</v>
      </c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36"/>
        <v>19</v>
      </c>
      <c r="E1184" s="6" t="str" cm="1">
        <f t="array" ref="E1184">_xlfn.IFS(D1184&lt;=5,"Newcomer",AND(D1184&gt;=6,D1184&lt;=10),"Proficient",D1184&gt;=10,"Expert")</f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37"/>
        <v>Voluntary</v>
      </c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36"/>
        <v>25</v>
      </c>
      <c r="E1185" s="6" t="str" cm="1">
        <f t="array" ref="E1185">_xlfn.IFS(D1185&lt;=5,"Newcomer",AND(D1185&gt;=6,D1185&lt;=10),"Proficient",D1185&gt;=10,"Expert")</f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37"/>
        <v>Voluntary</v>
      </c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36"/>
        <v>22</v>
      </c>
      <c r="E1186" s="6" t="str" cm="1">
        <f t="array" ref="E1186">_xlfn.IFS(D1186&lt;=5,"Newcomer",AND(D1186&gt;=6,D1186&lt;=10),"Proficient",D1186&gt;=10,"Expert")</f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37"/>
        <v>Voluntary</v>
      </c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36"/>
        <v>5</v>
      </c>
      <c r="E1187" s="6" t="str" cm="1">
        <f t="array" ref="E1187">_xlfn.IFS(D1187&lt;=5,"Newcomer",AND(D1187&gt;=6,D1187&lt;=10),"Proficient",D1187&gt;=10,"Expert")</f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37"/>
        <v>Voluntary</v>
      </c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36"/>
        <v>26</v>
      </c>
      <c r="E1188" s="6" t="str" cm="1">
        <f t="array" ref="E1188">_xlfn.IFS(D1188&lt;=5,"Newcomer",AND(D1188&gt;=6,D1188&lt;=10),"Proficient",D1188&gt;=10,"Expert")</f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37"/>
        <v>Voluntary</v>
      </c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36"/>
        <v>20</v>
      </c>
      <c r="E1189" s="6" t="str" cm="1">
        <f t="array" ref="E1189">_xlfn.IFS(D1189&lt;=5,"Newcomer",AND(D1189&gt;=6,D1189&lt;=10),"Proficient",D1189&gt;=10,"Expert")</f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37"/>
        <v>Involuntary</v>
      </c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36"/>
        <v>23</v>
      </c>
      <c r="E1190" s="6" t="str" cm="1">
        <f t="array" ref="E1190">_xlfn.IFS(D1190&lt;=5,"Newcomer",AND(D1190&gt;=6,D1190&lt;=10),"Proficient",D1190&gt;=10,"Expert")</f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37"/>
        <v>Involuntary</v>
      </c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36"/>
        <v>19</v>
      </c>
      <c r="E1191" s="6" t="str" cm="1">
        <f t="array" ref="E1191">_xlfn.IFS(D1191&lt;=5,"Newcomer",AND(D1191&gt;=6,D1191&lt;=10),"Proficient",D1191&gt;=10,"Expert")</f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37"/>
        <v>Voluntary</v>
      </c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36"/>
        <v>22</v>
      </c>
      <c r="E1192" s="6" t="str" cm="1">
        <f t="array" ref="E1192">_xlfn.IFS(D1192&lt;=5,"Newcomer",AND(D1192&gt;=6,D1192&lt;=10),"Proficient",D1192&gt;=10,"Expert")</f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37"/>
        <v>Voluntary</v>
      </c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36"/>
        <v>30</v>
      </c>
      <c r="E1193" s="6" t="str" cm="1">
        <f t="array" ref="E1193">_xlfn.IFS(D1193&lt;=5,"Newcomer",AND(D1193&gt;=6,D1193&lt;=10),"Proficient",D1193&gt;=10,"Expert")</f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37"/>
        <v>Involuntary</v>
      </c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36"/>
        <v>12</v>
      </c>
      <c r="E1194" s="6" t="str" cm="1">
        <f t="array" ref="E1194">_xlfn.IFS(D1194&lt;=5,"Newcomer",AND(D1194&gt;=6,D1194&lt;=10),"Proficient",D1194&gt;=10,"Expert")</f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37"/>
        <v>Voluntary</v>
      </c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36"/>
        <v>15</v>
      </c>
      <c r="E1195" s="6" t="str" cm="1">
        <f t="array" ref="E1195">_xlfn.IFS(D1195&lt;=5,"Newcomer",AND(D1195&gt;=6,D1195&lt;=10),"Proficient",D1195&gt;=10,"Expert")</f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37"/>
        <v>Voluntary</v>
      </c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36"/>
        <v>15</v>
      </c>
      <c r="E1196" s="6" t="str" cm="1">
        <f t="array" ref="E1196">_xlfn.IFS(D1196&lt;=5,"Newcomer",AND(D1196&gt;=6,D1196&lt;=10),"Proficient",D1196&gt;=10,"Expert")</f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37"/>
        <v>Involuntary</v>
      </c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36"/>
        <v>29</v>
      </c>
      <c r="E1197" s="6" t="str" cm="1">
        <f t="array" ref="E1197">_xlfn.IFS(D1197&lt;=5,"Newcomer",AND(D1197&gt;=6,D1197&lt;=10),"Proficient",D1197&gt;=10,"Expert")</f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37"/>
        <v>Involuntary</v>
      </c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36"/>
        <v>22</v>
      </c>
      <c r="E1198" s="6" t="str" cm="1">
        <f t="array" ref="E1198">_xlfn.IFS(D1198&lt;=5,"Newcomer",AND(D1198&gt;=6,D1198&lt;=10),"Proficient",D1198&gt;=10,"Expert")</f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37"/>
        <v>Voluntary</v>
      </c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36"/>
        <v>18</v>
      </c>
      <c r="E1199" s="6" t="str" cm="1">
        <f t="array" ref="E1199">_xlfn.IFS(D1199&lt;=5,"Newcomer",AND(D1199&gt;=6,D1199&lt;=10),"Proficient",D1199&gt;=10,"Expert")</f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37"/>
        <v>Voluntary</v>
      </c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36"/>
        <v>9</v>
      </c>
      <c r="E1200" s="6" t="str" cm="1">
        <f t="array" ref="E1200">_xlfn.IFS(D1200&lt;=5,"Newcomer",AND(D1200&gt;=6,D1200&lt;=10),"Proficient",D1200&gt;=10,"Expert")</f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37"/>
        <v>Voluntary</v>
      </c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36"/>
        <v>17</v>
      </c>
      <c r="E1201" s="6" t="str" cm="1">
        <f t="array" ref="E1201">_xlfn.IFS(D1201&lt;=5,"Newcomer",AND(D1201&gt;=6,D1201&lt;=10),"Proficient",D1201&gt;=10,"Expert")</f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37"/>
        <v>Voluntary</v>
      </c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36"/>
        <v>23</v>
      </c>
      <c r="E1202" s="6" t="str" cm="1">
        <f t="array" ref="E1202">_xlfn.IFS(D1202&lt;=5,"Newcomer",AND(D1202&gt;=6,D1202&lt;=10),"Proficient",D1202&gt;=10,"Expert")</f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37"/>
        <v>Voluntary</v>
      </c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36"/>
        <v>8</v>
      </c>
      <c r="E1203" s="6" t="str" cm="1">
        <f t="array" ref="E1203">_xlfn.IFS(D1203&lt;=5,"Newcomer",AND(D1203&gt;=6,D1203&lt;=10),"Proficient",D1203&gt;=10,"Expert")</f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37"/>
        <v>Voluntary</v>
      </c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36"/>
        <v>22</v>
      </c>
      <c r="E1204" s="6" t="str" cm="1">
        <f t="array" ref="E1204">_xlfn.IFS(D1204&lt;=5,"Newcomer",AND(D1204&gt;=6,D1204&lt;=10),"Proficient",D1204&gt;=10,"Expert")</f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37"/>
        <v>Voluntary</v>
      </c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36"/>
        <v>16</v>
      </c>
      <c r="E1205" s="6" t="str" cm="1">
        <f t="array" ref="E1205">_xlfn.IFS(D1205&lt;=5,"Newcomer",AND(D1205&gt;=6,D1205&lt;=10),"Proficient",D1205&gt;=10,"Expert")</f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37"/>
        <v>Voluntary</v>
      </c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36"/>
        <v>24</v>
      </c>
      <c r="E1206" s="6" t="str" cm="1">
        <f t="array" ref="E1206">_xlfn.IFS(D1206&lt;=5,"Newcomer",AND(D1206&gt;=6,D1206&lt;=10),"Proficient",D1206&gt;=10,"Expert")</f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37"/>
        <v>Voluntary</v>
      </c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36"/>
        <v>13</v>
      </c>
      <c r="E1207" s="6" t="str" cm="1">
        <f t="array" ref="E1207">_xlfn.IFS(D1207&lt;=5,"Newcomer",AND(D1207&gt;=6,D1207&lt;=10),"Proficient",D1207&gt;=10,"Expert")</f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37"/>
        <v>Voluntary</v>
      </c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36"/>
        <v>29</v>
      </c>
      <c r="E1208" s="6" t="str" cm="1">
        <f t="array" ref="E1208">_xlfn.IFS(D1208&lt;=5,"Newcomer",AND(D1208&gt;=6,D1208&lt;=10),"Proficient",D1208&gt;=10,"Expert")</f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37"/>
        <v>Voluntary</v>
      </c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36"/>
        <v>12</v>
      </c>
      <c r="E1209" s="6" t="str" cm="1">
        <f t="array" ref="E1209">_xlfn.IFS(D1209&lt;=5,"Newcomer",AND(D1209&gt;=6,D1209&lt;=10),"Proficient",D1209&gt;=10,"Expert")</f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37"/>
        <v>Voluntary</v>
      </c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36"/>
        <v>25</v>
      </c>
      <c r="E1210" s="6" t="str" cm="1">
        <f t="array" ref="E1210">_xlfn.IFS(D1210&lt;=5,"Newcomer",AND(D1210&gt;=6,D1210&lt;=10),"Proficient",D1210&gt;=10,"Expert")</f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37"/>
        <v>Voluntary</v>
      </c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36"/>
        <v>6</v>
      </c>
      <c r="E1211" s="6" t="str" cm="1">
        <f t="array" ref="E1211">_xlfn.IFS(D1211&lt;=5,"Newcomer",AND(D1211&gt;=6,D1211&lt;=10),"Proficient",D1211&gt;=10,"Expert")</f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37"/>
        <v>Voluntary</v>
      </c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36"/>
        <v>7</v>
      </c>
      <c r="E1212" s="6" t="str" cm="1">
        <f t="array" ref="E1212">_xlfn.IFS(D1212&lt;=5,"Newcomer",AND(D1212&gt;=6,D1212&lt;=10),"Proficient",D1212&gt;=10,"Expert")</f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37"/>
        <v>Voluntary</v>
      </c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36"/>
        <v>8</v>
      </c>
      <c r="E1213" s="6" t="str" cm="1">
        <f t="array" ref="E1213">_xlfn.IFS(D1213&lt;=5,"Newcomer",AND(D1213&gt;=6,D1213&lt;=10),"Proficient",D1213&gt;=10,"Expert")</f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37"/>
        <v>Voluntary</v>
      </c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36"/>
        <v>25</v>
      </c>
      <c r="E1214" s="6" t="str" cm="1">
        <f t="array" ref="E1214">_xlfn.IFS(D1214&lt;=5,"Newcomer",AND(D1214&gt;=6,D1214&lt;=10),"Proficient",D1214&gt;=10,"Expert")</f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37"/>
        <v>Voluntary</v>
      </c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36"/>
        <v>21</v>
      </c>
      <c r="E1215" s="6" t="str" cm="1">
        <f t="array" ref="E1215">_xlfn.IFS(D1215&lt;=5,"Newcomer",AND(D1215&gt;=6,D1215&lt;=10),"Proficient",D1215&gt;=10,"Expert")</f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37"/>
        <v>Voluntary</v>
      </c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36"/>
        <v>5</v>
      </c>
      <c r="E1216" s="6" t="str" cm="1">
        <f t="array" ref="E1216">_xlfn.IFS(D1216&lt;=5,"Newcomer",AND(D1216&gt;=6,D1216&lt;=10),"Proficient",D1216&gt;=10,"Expert")</f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37"/>
        <v>Voluntary</v>
      </c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36"/>
        <v>10</v>
      </c>
      <c r="E1217" s="6" t="str" cm="1">
        <f t="array" ref="E1217">_xlfn.IFS(D1217&lt;=5,"Newcomer",AND(D1217&gt;=6,D1217&lt;=10),"Proficient",D1217&gt;=10,"Expert")</f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37"/>
        <v>Voluntary</v>
      </c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36"/>
        <v>21</v>
      </c>
      <c r="E1218" s="6" t="str" cm="1">
        <f t="array" ref="E1218">_xlfn.IFS(D1218&lt;=5,"Newcomer",AND(D1218&gt;=6,D1218&lt;=10),"Proficient",D1218&gt;=10,"Expert")</f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37"/>
        <v>Involuntary</v>
      </c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38">YEAR(C1219)-YEAR(B1219)</f>
        <v>19</v>
      </c>
      <c r="E1219" s="6" t="str" cm="1">
        <f t="array" ref="E1219">_xlfn.IFS(D1219&lt;=5,"Newcomer",AND(D1219&gt;=6,D1219&lt;=10),"Proficient",D1219&gt;=10,"Expert")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ref="M1219:M1282" si="39">IF(OR(L1219="Retirement",L1219="Resignation"),"Voluntary","Involuntary")</f>
        <v>Involuntary</v>
      </c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38"/>
        <v>5</v>
      </c>
      <c r="E1220" s="6" t="str" cm="1">
        <f t="array" ref="E1220">_xlfn.IFS(D1220&lt;=5,"Newcomer",AND(D1220&gt;=6,D1220&lt;=10),"Proficient",D1220&gt;=10,"Expert")</f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39"/>
        <v>Voluntary</v>
      </c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38"/>
        <v>6</v>
      </c>
      <c r="E1221" s="6" t="str" cm="1">
        <f t="array" ref="E1221">_xlfn.IFS(D1221&lt;=5,"Newcomer",AND(D1221&gt;=6,D1221&lt;=10),"Proficient",D1221&gt;=10,"Expert")</f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39"/>
        <v>Voluntary</v>
      </c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38"/>
        <v>12</v>
      </c>
      <c r="E1222" s="6" t="str" cm="1">
        <f t="array" ref="E1222">_xlfn.IFS(D1222&lt;=5,"Newcomer",AND(D1222&gt;=6,D1222&lt;=10),"Proficient",D1222&gt;=10,"Expert")</f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39"/>
        <v>Voluntary</v>
      </c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38"/>
        <v>13</v>
      </c>
      <c r="E1223" s="6" t="str" cm="1">
        <f t="array" ref="E1223">_xlfn.IFS(D1223&lt;=5,"Newcomer",AND(D1223&gt;=6,D1223&lt;=10),"Proficient",D1223&gt;=10,"Expert")</f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39"/>
        <v>Voluntary</v>
      </c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38"/>
        <v>16</v>
      </c>
      <c r="E1224" s="6" t="str" cm="1">
        <f t="array" ref="E1224">_xlfn.IFS(D1224&lt;=5,"Newcomer",AND(D1224&gt;=6,D1224&lt;=10),"Proficient",D1224&gt;=10,"Expert")</f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39"/>
        <v>Involuntary</v>
      </c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38"/>
        <v>22</v>
      </c>
      <c r="E1225" s="6" t="str" cm="1">
        <f t="array" ref="E1225">_xlfn.IFS(D1225&lt;=5,"Newcomer",AND(D1225&gt;=6,D1225&lt;=10),"Proficient",D1225&gt;=10,"Expert")</f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39"/>
        <v>Voluntary</v>
      </c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38"/>
        <v>22</v>
      </c>
      <c r="E1226" s="6" t="str" cm="1">
        <f t="array" ref="E1226">_xlfn.IFS(D1226&lt;=5,"Newcomer",AND(D1226&gt;=6,D1226&lt;=10),"Proficient",D1226&gt;=10,"Expert")</f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39"/>
        <v>Voluntary</v>
      </c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38"/>
        <v>10</v>
      </c>
      <c r="E1227" s="6" t="str" cm="1">
        <f t="array" ref="E1227">_xlfn.IFS(D1227&lt;=5,"Newcomer",AND(D1227&gt;=6,D1227&lt;=10),"Proficient",D1227&gt;=10,"Expert")</f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39"/>
        <v>Voluntary</v>
      </c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38"/>
        <v>30</v>
      </c>
      <c r="E1228" s="6" t="str" cm="1">
        <f t="array" ref="E1228">_xlfn.IFS(D1228&lt;=5,"Newcomer",AND(D1228&gt;=6,D1228&lt;=10),"Proficient",D1228&gt;=10,"Expert")</f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39"/>
        <v>Voluntary</v>
      </c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38"/>
        <v>15</v>
      </c>
      <c r="E1229" s="6" t="str" cm="1">
        <f t="array" ref="E1229">_xlfn.IFS(D1229&lt;=5,"Newcomer",AND(D1229&gt;=6,D1229&lt;=10),"Proficient",D1229&gt;=10,"Expert")</f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39"/>
        <v>Voluntary</v>
      </c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38"/>
        <v>27</v>
      </c>
      <c r="E1230" s="6" t="str" cm="1">
        <f t="array" ref="E1230">_xlfn.IFS(D1230&lt;=5,"Newcomer",AND(D1230&gt;=6,D1230&lt;=10),"Proficient",D1230&gt;=10,"Expert")</f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39"/>
        <v>Voluntary</v>
      </c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38"/>
        <v>28</v>
      </c>
      <c r="E1231" s="6" t="str" cm="1">
        <f t="array" ref="E1231">_xlfn.IFS(D1231&lt;=5,"Newcomer",AND(D1231&gt;=6,D1231&lt;=10),"Proficient",D1231&gt;=10,"Expert")</f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39"/>
        <v>Voluntary</v>
      </c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38"/>
        <v>29</v>
      </c>
      <c r="E1232" s="6" t="str" cm="1">
        <f t="array" ref="E1232">_xlfn.IFS(D1232&lt;=5,"Newcomer",AND(D1232&gt;=6,D1232&lt;=10),"Proficient",D1232&gt;=10,"Expert")</f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39"/>
        <v>Involuntary</v>
      </c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38"/>
        <v>5</v>
      </c>
      <c r="E1233" s="6" t="str" cm="1">
        <f t="array" ref="E1233">_xlfn.IFS(D1233&lt;=5,"Newcomer",AND(D1233&gt;=6,D1233&lt;=10),"Proficient",D1233&gt;=10,"Expert")</f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39"/>
        <v>Involuntary</v>
      </c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38"/>
        <v>13</v>
      </c>
      <c r="E1234" s="6" t="str" cm="1">
        <f t="array" ref="E1234">_xlfn.IFS(D1234&lt;=5,"Newcomer",AND(D1234&gt;=6,D1234&lt;=10),"Proficient",D1234&gt;=10,"Expert")</f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39"/>
        <v>Voluntary</v>
      </c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38"/>
        <v>27</v>
      </c>
      <c r="E1235" s="6" t="str" cm="1">
        <f t="array" ref="E1235">_xlfn.IFS(D1235&lt;=5,"Newcomer",AND(D1235&gt;=6,D1235&lt;=10),"Proficient",D1235&gt;=10,"Expert")</f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39"/>
        <v>Voluntary</v>
      </c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38"/>
        <v>13</v>
      </c>
      <c r="E1236" s="6" t="str" cm="1">
        <f t="array" ref="E1236">_xlfn.IFS(D1236&lt;=5,"Newcomer",AND(D1236&gt;=6,D1236&lt;=10),"Proficient",D1236&gt;=10,"Expert")</f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39"/>
        <v>Voluntary</v>
      </c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38"/>
        <v>8</v>
      </c>
      <c r="E1237" s="6" t="str" cm="1">
        <f t="array" ref="E1237">_xlfn.IFS(D1237&lt;=5,"Newcomer",AND(D1237&gt;=6,D1237&lt;=10),"Proficient",D1237&gt;=10,"Expert")</f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39"/>
        <v>Involuntary</v>
      </c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38"/>
        <v>17</v>
      </c>
      <c r="E1238" s="6" t="str" cm="1">
        <f t="array" ref="E1238">_xlfn.IFS(D1238&lt;=5,"Newcomer",AND(D1238&gt;=6,D1238&lt;=10),"Proficient",D1238&gt;=10,"Expert")</f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39"/>
        <v>Involuntary</v>
      </c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38"/>
        <v>5</v>
      </c>
      <c r="E1239" s="6" t="str" cm="1">
        <f t="array" ref="E1239">_xlfn.IFS(D1239&lt;=5,"Newcomer",AND(D1239&gt;=6,D1239&lt;=10),"Proficient",D1239&gt;=10,"Expert")</f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39"/>
        <v>Voluntary</v>
      </c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38"/>
        <v>25</v>
      </c>
      <c r="E1240" s="6" t="str" cm="1">
        <f t="array" ref="E1240">_xlfn.IFS(D1240&lt;=5,"Newcomer",AND(D1240&gt;=6,D1240&lt;=10),"Proficient",D1240&gt;=10,"Expert")</f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39"/>
        <v>Involuntary</v>
      </c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38"/>
        <v>11</v>
      </c>
      <c r="E1241" s="6" t="str" cm="1">
        <f t="array" ref="E1241">_xlfn.IFS(D1241&lt;=5,"Newcomer",AND(D1241&gt;=6,D1241&lt;=10),"Proficient",D1241&gt;=10,"Expert")</f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39"/>
        <v>Involuntary</v>
      </c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38"/>
        <v>21</v>
      </c>
      <c r="E1242" s="6" t="str" cm="1">
        <f t="array" ref="E1242">_xlfn.IFS(D1242&lt;=5,"Newcomer",AND(D1242&gt;=6,D1242&lt;=10),"Proficient",D1242&gt;=10,"Expert")</f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39"/>
        <v>Involuntary</v>
      </c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38"/>
        <v>12</v>
      </c>
      <c r="E1243" s="6" t="str" cm="1">
        <f t="array" ref="E1243">_xlfn.IFS(D1243&lt;=5,"Newcomer",AND(D1243&gt;=6,D1243&lt;=10),"Proficient",D1243&gt;=10,"Expert")</f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39"/>
        <v>Voluntary</v>
      </c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38"/>
        <v>25</v>
      </c>
      <c r="E1244" s="6" t="str" cm="1">
        <f t="array" ref="E1244">_xlfn.IFS(D1244&lt;=5,"Newcomer",AND(D1244&gt;=6,D1244&lt;=10),"Proficient",D1244&gt;=10,"Expert")</f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39"/>
        <v>Voluntary</v>
      </c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38"/>
        <v>6</v>
      </c>
      <c r="E1245" s="6" t="str" cm="1">
        <f t="array" ref="E1245">_xlfn.IFS(D1245&lt;=5,"Newcomer",AND(D1245&gt;=6,D1245&lt;=10),"Proficient",D1245&gt;=10,"Expert")</f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39"/>
        <v>Voluntary</v>
      </c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38"/>
        <v>7</v>
      </c>
      <c r="E1246" s="6" t="str" cm="1">
        <f t="array" ref="E1246">_xlfn.IFS(D1246&lt;=5,"Newcomer",AND(D1246&gt;=6,D1246&lt;=10),"Proficient",D1246&gt;=10,"Expert")</f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39"/>
        <v>Voluntary</v>
      </c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38"/>
        <v>12</v>
      </c>
      <c r="E1247" s="6" t="str" cm="1">
        <f t="array" ref="E1247">_xlfn.IFS(D1247&lt;=5,"Newcomer",AND(D1247&gt;=6,D1247&lt;=10),"Proficient",D1247&gt;=10,"Expert")</f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39"/>
        <v>Voluntary</v>
      </c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38"/>
        <v>27</v>
      </c>
      <c r="E1248" s="6" t="str" cm="1">
        <f t="array" ref="E1248">_xlfn.IFS(D1248&lt;=5,"Newcomer",AND(D1248&gt;=6,D1248&lt;=10),"Proficient",D1248&gt;=10,"Expert")</f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39"/>
        <v>Voluntary</v>
      </c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38"/>
        <v>26</v>
      </c>
      <c r="E1249" s="6" t="str" cm="1">
        <f t="array" ref="E1249">_xlfn.IFS(D1249&lt;=5,"Newcomer",AND(D1249&gt;=6,D1249&lt;=10),"Proficient",D1249&gt;=10,"Expert")</f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39"/>
        <v>Involuntary</v>
      </c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38"/>
        <v>10</v>
      </c>
      <c r="E1250" s="6" t="str" cm="1">
        <f t="array" ref="E1250">_xlfn.IFS(D1250&lt;=5,"Newcomer",AND(D1250&gt;=6,D1250&lt;=10),"Proficient",D1250&gt;=10,"Expert")</f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39"/>
        <v>Voluntary</v>
      </c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38"/>
        <v>5</v>
      </c>
      <c r="E1251" s="6" t="str" cm="1">
        <f t="array" ref="E1251">_xlfn.IFS(D1251&lt;=5,"Newcomer",AND(D1251&gt;=6,D1251&lt;=10),"Proficient",D1251&gt;=10,"Expert")</f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39"/>
        <v>Voluntary</v>
      </c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38"/>
        <v>14</v>
      </c>
      <c r="E1252" s="6" t="str" cm="1">
        <f t="array" ref="E1252">_xlfn.IFS(D1252&lt;=5,"Newcomer",AND(D1252&gt;=6,D1252&lt;=10),"Proficient",D1252&gt;=10,"Expert")</f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39"/>
        <v>Voluntary</v>
      </c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38"/>
        <v>18</v>
      </c>
      <c r="E1253" s="6" t="str" cm="1">
        <f t="array" ref="E1253">_xlfn.IFS(D1253&lt;=5,"Newcomer",AND(D1253&gt;=6,D1253&lt;=10),"Proficient",D1253&gt;=10,"Expert")</f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39"/>
        <v>Voluntary</v>
      </c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38"/>
        <v>13</v>
      </c>
      <c r="E1254" s="6" t="str" cm="1">
        <f t="array" ref="E1254">_xlfn.IFS(D1254&lt;=5,"Newcomer",AND(D1254&gt;=6,D1254&lt;=10),"Proficient",D1254&gt;=10,"Expert")</f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39"/>
        <v>Voluntary</v>
      </c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38"/>
        <v>24</v>
      </c>
      <c r="E1255" s="6" t="str" cm="1">
        <f t="array" ref="E1255">_xlfn.IFS(D1255&lt;=5,"Newcomer",AND(D1255&gt;=6,D1255&lt;=10),"Proficient",D1255&gt;=10,"Expert")</f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39"/>
        <v>Voluntary</v>
      </c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38"/>
        <v>6</v>
      </c>
      <c r="E1256" s="6" t="str" cm="1">
        <f t="array" ref="E1256">_xlfn.IFS(D1256&lt;=5,"Newcomer",AND(D1256&gt;=6,D1256&lt;=10),"Proficient",D1256&gt;=10,"Expert")</f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39"/>
        <v>Involuntary</v>
      </c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38"/>
        <v>29</v>
      </c>
      <c r="E1257" s="6" t="str" cm="1">
        <f t="array" ref="E1257">_xlfn.IFS(D1257&lt;=5,"Newcomer",AND(D1257&gt;=6,D1257&lt;=10),"Proficient",D1257&gt;=10,"Expert")</f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39"/>
        <v>Voluntary</v>
      </c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38"/>
        <v>11</v>
      </c>
      <c r="E1258" s="6" t="str" cm="1">
        <f t="array" ref="E1258">_xlfn.IFS(D1258&lt;=5,"Newcomer",AND(D1258&gt;=6,D1258&lt;=10),"Proficient",D1258&gt;=10,"Expert")</f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39"/>
        <v>Involuntary</v>
      </c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38"/>
        <v>19</v>
      </c>
      <c r="E1259" s="6" t="str" cm="1">
        <f t="array" ref="E1259">_xlfn.IFS(D1259&lt;=5,"Newcomer",AND(D1259&gt;=6,D1259&lt;=10),"Proficient",D1259&gt;=10,"Expert")</f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39"/>
        <v>Involuntary</v>
      </c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38"/>
        <v>13</v>
      </c>
      <c r="E1260" s="6" t="str" cm="1">
        <f t="array" ref="E1260">_xlfn.IFS(D1260&lt;=5,"Newcomer",AND(D1260&gt;=6,D1260&lt;=10),"Proficient",D1260&gt;=10,"Expert")</f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39"/>
        <v>Voluntary</v>
      </c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38"/>
        <v>20</v>
      </c>
      <c r="E1261" s="6" t="str" cm="1">
        <f t="array" ref="E1261">_xlfn.IFS(D1261&lt;=5,"Newcomer",AND(D1261&gt;=6,D1261&lt;=10),"Proficient",D1261&gt;=10,"Expert")</f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39"/>
        <v>Voluntary</v>
      </c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38"/>
        <v>11</v>
      </c>
      <c r="E1262" s="6" t="str" cm="1">
        <f t="array" ref="E1262">_xlfn.IFS(D1262&lt;=5,"Newcomer",AND(D1262&gt;=6,D1262&lt;=10),"Proficient",D1262&gt;=10,"Expert")</f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39"/>
        <v>Voluntary</v>
      </c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38"/>
        <v>29</v>
      </c>
      <c r="E1263" s="6" t="str" cm="1">
        <f t="array" ref="E1263">_xlfn.IFS(D1263&lt;=5,"Newcomer",AND(D1263&gt;=6,D1263&lt;=10),"Proficient",D1263&gt;=10,"Expert")</f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39"/>
        <v>Voluntary</v>
      </c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38"/>
        <v>20</v>
      </c>
      <c r="E1264" s="6" t="str" cm="1">
        <f t="array" ref="E1264">_xlfn.IFS(D1264&lt;=5,"Newcomer",AND(D1264&gt;=6,D1264&lt;=10),"Proficient",D1264&gt;=10,"Expert")</f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39"/>
        <v>Voluntary</v>
      </c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38"/>
        <v>10</v>
      </c>
      <c r="E1265" s="6" t="str" cm="1">
        <f t="array" ref="E1265">_xlfn.IFS(D1265&lt;=5,"Newcomer",AND(D1265&gt;=6,D1265&lt;=10),"Proficient",D1265&gt;=10,"Expert")</f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39"/>
        <v>Voluntary</v>
      </c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38"/>
        <v>28</v>
      </c>
      <c r="E1266" s="6" t="str" cm="1">
        <f t="array" ref="E1266">_xlfn.IFS(D1266&lt;=5,"Newcomer",AND(D1266&gt;=6,D1266&lt;=10),"Proficient",D1266&gt;=10,"Expert")</f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39"/>
        <v>Voluntary</v>
      </c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38"/>
        <v>17</v>
      </c>
      <c r="E1267" s="6" t="str" cm="1">
        <f t="array" ref="E1267">_xlfn.IFS(D1267&lt;=5,"Newcomer",AND(D1267&gt;=6,D1267&lt;=10),"Proficient",D1267&gt;=10,"Expert")</f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39"/>
        <v>Voluntary</v>
      </c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38"/>
        <v>18</v>
      </c>
      <c r="E1268" s="6" t="str" cm="1">
        <f t="array" ref="E1268">_xlfn.IFS(D1268&lt;=5,"Newcomer",AND(D1268&gt;=6,D1268&lt;=10),"Proficient",D1268&gt;=10,"Expert")</f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39"/>
        <v>Voluntary</v>
      </c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38"/>
        <v>7</v>
      </c>
      <c r="E1269" s="6" t="str" cm="1">
        <f t="array" ref="E1269">_xlfn.IFS(D1269&lt;=5,"Newcomer",AND(D1269&gt;=6,D1269&lt;=10),"Proficient",D1269&gt;=10,"Expert")</f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39"/>
        <v>Voluntary</v>
      </c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38"/>
        <v>21</v>
      </c>
      <c r="E1270" s="6" t="str" cm="1">
        <f t="array" ref="E1270">_xlfn.IFS(D1270&lt;=5,"Newcomer",AND(D1270&gt;=6,D1270&lt;=10),"Proficient",D1270&gt;=10,"Expert")</f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39"/>
        <v>Involuntary</v>
      </c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38"/>
        <v>7</v>
      </c>
      <c r="E1271" s="6" t="str" cm="1">
        <f t="array" ref="E1271">_xlfn.IFS(D1271&lt;=5,"Newcomer",AND(D1271&gt;=6,D1271&lt;=10),"Proficient",D1271&gt;=10,"Expert")</f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39"/>
        <v>Voluntary</v>
      </c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38"/>
        <v>13</v>
      </c>
      <c r="E1272" s="6" t="str" cm="1">
        <f t="array" ref="E1272">_xlfn.IFS(D1272&lt;=5,"Newcomer",AND(D1272&gt;=6,D1272&lt;=10),"Proficient",D1272&gt;=10,"Expert")</f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39"/>
        <v>Involuntary</v>
      </c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38"/>
        <v>23</v>
      </c>
      <c r="E1273" s="6" t="str" cm="1">
        <f t="array" ref="E1273">_xlfn.IFS(D1273&lt;=5,"Newcomer",AND(D1273&gt;=6,D1273&lt;=10),"Proficient",D1273&gt;=10,"Expert")</f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39"/>
        <v>Voluntary</v>
      </c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38"/>
        <v>26</v>
      </c>
      <c r="E1274" s="6" t="str" cm="1">
        <f t="array" ref="E1274">_xlfn.IFS(D1274&lt;=5,"Newcomer",AND(D1274&gt;=6,D1274&lt;=10),"Proficient",D1274&gt;=10,"Expert")</f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39"/>
        <v>Voluntary</v>
      </c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38"/>
        <v>8</v>
      </c>
      <c r="E1275" s="6" t="str" cm="1">
        <f t="array" ref="E1275">_xlfn.IFS(D1275&lt;=5,"Newcomer",AND(D1275&gt;=6,D1275&lt;=10),"Proficient",D1275&gt;=10,"Expert")</f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39"/>
        <v>Involuntary</v>
      </c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38"/>
        <v>15</v>
      </c>
      <c r="E1276" s="6" t="str" cm="1">
        <f t="array" ref="E1276">_xlfn.IFS(D1276&lt;=5,"Newcomer",AND(D1276&gt;=6,D1276&lt;=10),"Proficient",D1276&gt;=10,"Expert")</f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39"/>
        <v>Voluntary</v>
      </c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38"/>
        <v>23</v>
      </c>
      <c r="E1277" s="6" t="str" cm="1">
        <f t="array" ref="E1277">_xlfn.IFS(D1277&lt;=5,"Newcomer",AND(D1277&gt;=6,D1277&lt;=10),"Proficient",D1277&gt;=10,"Expert")</f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39"/>
        <v>Voluntary</v>
      </c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38"/>
        <v>16</v>
      </c>
      <c r="E1278" s="6" t="str" cm="1">
        <f t="array" ref="E1278">_xlfn.IFS(D1278&lt;=5,"Newcomer",AND(D1278&gt;=6,D1278&lt;=10),"Proficient",D1278&gt;=10,"Expert")</f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39"/>
        <v>Voluntary</v>
      </c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38"/>
        <v>15</v>
      </c>
      <c r="E1279" s="6" t="str" cm="1">
        <f t="array" ref="E1279">_xlfn.IFS(D1279&lt;=5,"Newcomer",AND(D1279&gt;=6,D1279&lt;=10),"Proficient",D1279&gt;=10,"Expert")</f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39"/>
        <v>Voluntary</v>
      </c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38"/>
        <v>20</v>
      </c>
      <c r="E1280" s="6" t="str" cm="1">
        <f t="array" ref="E1280">_xlfn.IFS(D1280&lt;=5,"Newcomer",AND(D1280&gt;=6,D1280&lt;=10),"Proficient",D1280&gt;=10,"Expert")</f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39"/>
        <v>Involuntary</v>
      </c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38"/>
        <v>18</v>
      </c>
      <c r="E1281" s="6" t="str" cm="1">
        <f t="array" ref="E1281">_xlfn.IFS(D1281&lt;=5,"Newcomer",AND(D1281&gt;=6,D1281&lt;=10),"Proficient",D1281&gt;=10,"Expert")</f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39"/>
        <v>Voluntary</v>
      </c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38"/>
        <v>17</v>
      </c>
      <c r="E1282" s="6" t="str" cm="1">
        <f t="array" ref="E1282">_xlfn.IFS(D1282&lt;=5,"Newcomer",AND(D1282&gt;=6,D1282&lt;=10),"Proficient",D1282&gt;=10,"Expert")</f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39"/>
        <v>Voluntary</v>
      </c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40">YEAR(C1283)-YEAR(B1283)</f>
        <v>13</v>
      </c>
      <c r="E1283" s="6" t="str" cm="1">
        <f t="array" ref="E1283">_xlfn.IFS(D1283&lt;=5,"Newcomer",AND(D1283&gt;=6,D1283&lt;=10),"Proficient",D1283&gt;=10,"Expert")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ref="M1283:M1346" si="41">IF(OR(L1283="Retirement",L1283="Resignation"),"Voluntary","Involuntary")</f>
        <v>Voluntary</v>
      </c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40"/>
        <v>28</v>
      </c>
      <c r="E1284" s="6" t="str" cm="1">
        <f t="array" ref="E1284">_xlfn.IFS(D1284&lt;=5,"Newcomer",AND(D1284&gt;=6,D1284&lt;=10),"Proficient",D1284&gt;=10,"Expert")</f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41"/>
        <v>Voluntary</v>
      </c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40"/>
        <v>10</v>
      </c>
      <c r="E1285" s="6" t="str" cm="1">
        <f t="array" ref="E1285">_xlfn.IFS(D1285&lt;=5,"Newcomer",AND(D1285&gt;=6,D1285&lt;=10),"Proficient",D1285&gt;=10,"Expert")</f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41"/>
        <v>Voluntary</v>
      </c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40"/>
        <v>30</v>
      </c>
      <c r="E1286" s="6" t="str" cm="1">
        <f t="array" ref="E1286">_xlfn.IFS(D1286&lt;=5,"Newcomer",AND(D1286&gt;=6,D1286&lt;=10),"Proficient",D1286&gt;=10,"Expert")</f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41"/>
        <v>Involuntary</v>
      </c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40"/>
        <v>28</v>
      </c>
      <c r="E1287" s="6" t="str" cm="1">
        <f t="array" ref="E1287">_xlfn.IFS(D1287&lt;=5,"Newcomer",AND(D1287&gt;=6,D1287&lt;=10),"Proficient",D1287&gt;=10,"Expert")</f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41"/>
        <v>Involuntary</v>
      </c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40"/>
        <v>19</v>
      </c>
      <c r="E1288" s="6" t="str" cm="1">
        <f t="array" ref="E1288">_xlfn.IFS(D1288&lt;=5,"Newcomer",AND(D1288&gt;=6,D1288&lt;=10),"Proficient",D1288&gt;=10,"Expert")</f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41"/>
        <v>Voluntary</v>
      </c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40"/>
        <v>14</v>
      </c>
      <c r="E1289" s="6" t="str" cm="1">
        <f t="array" ref="E1289">_xlfn.IFS(D1289&lt;=5,"Newcomer",AND(D1289&gt;=6,D1289&lt;=10),"Proficient",D1289&gt;=10,"Expert")</f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41"/>
        <v>Involuntary</v>
      </c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40"/>
        <v>29</v>
      </c>
      <c r="E1290" s="6" t="str" cm="1">
        <f t="array" ref="E1290">_xlfn.IFS(D1290&lt;=5,"Newcomer",AND(D1290&gt;=6,D1290&lt;=10),"Proficient",D1290&gt;=10,"Expert")</f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41"/>
        <v>Voluntary</v>
      </c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40"/>
        <v>8</v>
      </c>
      <c r="E1291" s="6" t="str" cm="1">
        <f t="array" ref="E1291">_xlfn.IFS(D1291&lt;=5,"Newcomer",AND(D1291&gt;=6,D1291&lt;=10),"Proficient",D1291&gt;=10,"Expert")</f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41"/>
        <v>Involuntary</v>
      </c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40"/>
        <v>20</v>
      </c>
      <c r="E1292" s="6" t="str" cm="1">
        <f t="array" ref="E1292">_xlfn.IFS(D1292&lt;=5,"Newcomer",AND(D1292&gt;=6,D1292&lt;=10),"Proficient",D1292&gt;=10,"Expert")</f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41"/>
        <v>Involuntary</v>
      </c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40"/>
        <v>24</v>
      </c>
      <c r="E1293" s="6" t="str" cm="1">
        <f t="array" ref="E1293">_xlfn.IFS(D1293&lt;=5,"Newcomer",AND(D1293&gt;=6,D1293&lt;=10),"Proficient",D1293&gt;=10,"Expert")</f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41"/>
        <v>Voluntary</v>
      </c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40"/>
        <v>20</v>
      </c>
      <c r="E1294" s="6" t="str" cm="1">
        <f t="array" ref="E1294">_xlfn.IFS(D1294&lt;=5,"Newcomer",AND(D1294&gt;=6,D1294&lt;=10),"Proficient",D1294&gt;=10,"Expert")</f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41"/>
        <v>Involuntary</v>
      </c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40"/>
        <v>23</v>
      </c>
      <c r="E1295" s="6" t="str" cm="1">
        <f t="array" ref="E1295">_xlfn.IFS(D1295&lt;=5,"Newcomer",AND(D1295&gt;=6,D1295&lt;=10),"Proficient",D1295&gt;=10,"Expert")</f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41"/>
        <v>Involuntary</v>
      </c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40"/>
        <v>22</v>
      </c>
      <c r="E1296" s="6" t="str" cm="1">
        <f t="array" ref="E1296">_xlfn.IFS(D1296&lt;=5,"Newcomer",AND(D1296&gt;=6,D1296&lt;=10),"Proficient",D1296&gt;=10,"Expert")</f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41"/>
        <v>Voluntary</v>
      </c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40"/>
        <v>8</v>
      </c>
      <c r="E1297" s="6" t="str" cm="1">
        <f t="array" ref="E1297">_xlfn.IFS(D1297&lt;=5,"Newcomer",AND(D1297&gt;=6,D1297&lt;=10),"Proficient",D1297&gt;=10,"Expert")</f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41"/>
        <v>Voluntary</v>
      </c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40"/>
        <v>8</v>
      </c>
      <c r="E1298" s="6" t="str" cm="1">
        <f t="array" ref="E1298">_xlfn.IFS(D1298&lt;=5,"Newcomer",AND(D1298&gt;=6,D1298&lt;=10),"Proficient",D1298&gt;=10,"Expert")</f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41"/>
        <v>Involuntary</v>
      </c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40"/>
        <v>11</v>
      </c>
      <c r="E1299" s="6" t="str" cm="1">
        <f t="array" ref="E1299">_xlfn.IFS(D1299&lt;=5,"Newcomer",AND(D1299&gt;=6,D1299&lt;=10),"Proficient",D1299&gt;=10,"Expert")</f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41"/>
        <v>Voluntary</v>
      </c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40"/>
        <v>11</v>
      </c>
      <c r="E1300" s="6" t="str" cm="1">
        <f t="array" ref="E1300">_xlfn.IFS(D1300&lt;=5,"Newcomer",AND(D1300&gt;=6,D1300&lt;=10),"Proficient",D1300&gt;=10,"Expert")</f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41"/>
        <v>Voluntary</v>
      </c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40"/>
        <v>8</v>
      </c>
      <c r="E1301" s="6" t="str" cm="1">
        <f t="array" ref="E1301">_xlfn.IFS(D1301&lt;=5,"Newcomer",AND(D1301&gt;=6,D1301&lt;=10),"Proficient",D1301&gt;=10,"Expert")</f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41"/>
        <v>Voluntary</v>
      </c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40"/>
        <v>30</v>
      </c>
      <c r="E1302" s="6" t="str" cm="1">
        <f t="array" ref="E1302">_xlfn.IFS(D1302&lt;=5,"Newcomer",AND(D1302&gt;=6,D1302&lt;=10),"Proficient",D1302&gt;=10,"Expert")</f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41"/>
        <v>Voluntary</v>
      </c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40"/>
        <v>17</v>
      </c>
      <c r="E1303" s="6" t="str" cm="1">
        <f t="array" ref="E1303">_xlfn.IFS(D1303&lt;=5,"Newcomer",AND(D1303&gt;=6,D1303&lt;=10),"Proficient",D1303&gt;=10,"Expert")</f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41"/>
        <v>Voluntary</v>
      </c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40"/>
        <v>14</v>
      </c>
      <c r="E1304" s="6" t="str" cm="1">
        <f t="array" ref="E1304">_xlfn.IFS(D1304&lt;=5,"Newcomer",AND(D1304&gt;=6,D1304&lt;=10),"Proficient",D1304&gt;=10,"Expert")</f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41"/>
        <v>Voluntary</v>
      </c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40"/>
        <v>18</v>
      </c>
      <c r="E1305" s="6" t="str" cm="1">
        <f t="array" ref="E1305">_xlfn.IFS(D1305&lt;=5,"Newcomer",AND(D1305&gt;=6,D1305&lt;=10),"Proficient",D1305&gt;=10,"Expert")</f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41"/>
        <v>Voluntary</v>
      </c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40"/>
        <v>16</v>
      </c>
      <c r="E1306" s="6" t="str" cm="1">
        <f t="array" ref="E1306">_xlfn.IFS(D1306&lt;=5,"Newcomer",AND(D1306&gt;=6,D1306&lt;=10),"Proficient",D1306&gt;=10,"Expert")</f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41"/>
        <v>Voluntary</v>
      </c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40"/>
        <v>26</v>
      </c>
      <c r="E1307" s="6" t="str" cm="1">
        <f t="array" ref="E1307">_xlfn.IFS(D1307&lt;=5,"Newcomer",AND(D1307&gt;=6,D1307&lt;=10),"Proficient",D1307&gt;=10,"Expert")</f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41"/>
        <v>Voluntary</v>
      </c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40"/>
        <v>13</v>
      </c>
      <c r="E1308" s="6" t="str" cm="1">
        <f t="array" ref="E1308">_xlfn.IFS(D1308&lt;=5,"Newcomer",AND(D1308&gt;=6,D1308&lt;=10),"Proficient",D1308&gt;=10,"Expert")</f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41"/>
        <v>Voluntary</v>
      </c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40"/>
        <v>11</v>
      </c>
      <c r="E1309" s="6" t="str" cm="1">
        <f t="array" ref="E1309">_xlfn.IFS(D1309&lt;=5,"Newcomer",AND(D1309&gt;=6,D1309&lt;=10),"Proficient",D1309&gt;=10,"Expert")</f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41"/>
        <v>Involuntary</v>
      </c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40"/>
        <v>13</v>
      </c>
      <c r="E1310" s="6" t="str" cm="1">
        <f t="array" ref="E1310">_xlfn.IFS(D1310&lt;=5,"Newcomer",AND(D1310&gt;=6,D1310&lt;=10),"Proficient",D1310&gt;=10,"Expert")</f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41"/>
        <v>Voluntary</v>
      </c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40"/>
        <v>8</v>
      </c>
      <c r="E1311" s="6" t="str" cm="1">
        <f t="array" ref="E1311">_xlfn.IFS(D1311&lt;=5,"Newcomer",AND(D1311&gt;=6,D1311&lt;=10),"Proficient",D1311&gt;=10,"Expert")</f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41"/>
        <v>Voluntary</v>
      </c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40"/>
        <v>27</v>
      </c>
      <c r="E1312" s="6" t="str" cm="1">
        <f t="array" ref="E1312">_xlfn.IFS(D1312&lt;=5,"Newcomer",AND(D1312&gt;=6,D1312&lt;=10),"Proficient",D1312&gt;=10,"Expert")</f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41"/>
        <v>Voluntary</v>
      </c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40"/>
        <v>15</v>
      </c>
      <c r="E1313" s="6" t="str" cm="1">
        <f t="array" ref="E1313">_xlfn.IFS(D1313&lt;=5,"Newcomer",AND(D1313&gt;=6,D1313&lt;=10),"Proficient",D1313&gt;=10,"Expert")</f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41"/>
        <v>Voluntary</v>
      </c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40"/>
        <v>7</v>
      </c>
      <c r="E1314" s="6" t="str" cm="1">
        <f t="array" ref="E1314">_xlfn.IFS(D1314&lt;=5,"Newcomer",AND(D1314&gt;=6,D1314&lt;=10),"Proficient",D1314&gt;=10,"Expert")</f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41"/>
        <v>Voluntary</v>
      </c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40"/>
        <v>16</v>
      </c>
      <c r="E1315" s="6" t="str" cm="1">
        <f t="array" ref="E1315">_xlfn.IFS(D1315&lt;=5,"Newcomer",AND(D1315&gt;=6,D1315&lt;=10),"Proficient",D1315&gt;=10,"Expert")</f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41"/>
        <v>Voluntary</v>
      </c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40"/>
        <v>24</v>
      </c>
      <c r="E1316" s="6" t="str" cm="1">
        <f t="array" ref="E1316">_xlfn.IFS(D1316&lt;=5,"Newcomer",AND(D1316&gt;=6,D1316&lt;=10),"Proficient",D1316&gt;=10,"Expert")</f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41"/>
        <v>Involuntary</v>
      </c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40"/>
        <v>7</v>
      </c>
      <c r="E1317" s="6" t="str" cm="1">
        <f t="array" ref="E1317">_xlfn.IFS(D1317&lt;=5,"Newcomer",AND(D1317&gt;=6,D1317&lt;=10),"Proficient",D1317&gt;=10,"Expert")</f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41"/>
        <v>Involuntary</v>
      </c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40"/>
        <v>24</v>
      </c>
      <c r="E1318" s="6" t="str" cm="1">
        <f t="array" ref="E1318">_xlfn.IFS(D1318&lt;=5,"Newcomer",AND(D1318&gt;=6,D1318&lt;=10),"Proficient",D1318&gt;=10,"Expert")</f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41"/>
        <v>Voluntary</v>
      </c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40"/>
        <v>11</v>
      </c>
      <c r="E1319" s="6" t="str" cm="1">
        <f t="array" ref="E1319">_xlfn.IFS(D1319&lt;=5,"Newcomer",AND(D1319&gt;=6,D1319&lt;=10),"Proficient",D1319&gt;=10,"Expert")</f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41"/>
        <v>Involuntary</v>
      </c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40"/>
        <v>19</v>
      </c>
      <c r="E1320" s="6" t="str" cm="1">
        <f t="array" ref="E1320">_xlfn.IFS(D1320&lt;=5,"Newcomer",AND(D1320&gt;=6,D1320&lt;=10),"Proficient",D1320&gt;=10,"Expert")</f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41"/>
        <v>Voluntary</v>
      </c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40"/>
        <v>19</v>
      </c>
      <c r="E1321" s="6" t="str" cm="1">
        <f t="array" ref="E1321">_xlfn.IFS(D1321&lt;=5,"Newcomer",AND(D1321&gt;=6,D1321&lt;=10),"Proficient",D1321&gt;=10,"Expert")</f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41"/>
        <v>Voluntary</v>
      </c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40"/>
        <v>22</v>
      </c>
      <c r="E1322" s="6" t="str" cm="1">
        <f t="array" ref="E1322">_xlfn.IFS(D1322&lt;=5,"Newcomer",AND(D1322&gt;=6,D1322&lt;=10),"Proficient",D1322&gt;=10,"Expert")</f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41"/>
        <v>Voluntary</v>
      </c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40"/>
        <v>18</v>
      </c>
      <c r="E1323" s="6" t="str" cm="1">
        <f t="array" ref="E1323">_xlfn.IFS(D1323&lt;=5,"Newcomer",AND(D1323&gt;=6,D1323&lt;=10),"Proficient",D1323&gt;=10,"Expert")</f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41"/>
        <v>Voluntary</v>
      </c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40"/>
        <v>21</v>
      </c>
      <c r="E1324" s="6" t="str" cm="1">
        <f t="array" ref="E1324">_xlfn.IFS(D1324&lt;=5,"Newcomer",AND(D1324&gt;=6,D1324&lt;=10),"Proficient",D1324&gt;=10,"Expert")</f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41"/>
        <v>Voluntary</v>
      </c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40"/>
        <v>26</v>
      </c>
      <c r="E1325" s="6" t="str" cm="1">
        <f t="array" ref="E1325">_xlfn.IFS(D1325&lt;=5,"Newcomer",AND(D1325&gt;=6,D1325&lt;=10),"Proficient",D1325&gt;=10,"Expert")</f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41"/>
        <v>Voluntary</v>
      </c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40"/>
        <v>23</v>
      </c>
      <c r="E1326" s="6" t="str" cm="1">
        <f t="array" ref="E1326">_xlfn.IFS(D1326&lt;=5,"Newcomer",AND(D1326&gt;=6,D1326&lt;=10),"Proficient",D1326&gt;=10,"Expert")</f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41"/>
        <v>Voluntary</v>
      </c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40"/>
        <v>10</v>
      </c>
      <c r="E1327" s="6" t="str" cm="1">
        <f t="array" ref="E1327">_xlfn.IFS(D1327&lt;=5,"Newcomer",AND(D1327&gt;=6,D1327&lt;=10),"Proficient",D1327&gt;=10,"Expert")</f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41"/>
        <v>Voluntary</v>
      </c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40"/>
        <v>9</v>
      </c>
      <c r="E1328" s="6" t="str" cm="1">
        <f t="array" ref="E1328">_xlfn.IFS(D1328&lt;=5,"Newcomer",AND(D1328&gt;=6,D1328&lt;=10),"Proficient",D1328&gt;=10,"Expert")</f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41"/>
        <v>Voluntary</v>
      </c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40"/>
        <v>6</v>
      </c>
      <c r="E1329" s="6" t="str" cm="1">
        <f t="array" ref="E1329">_xlfn.IFS(D1329&lt;=5,"Newcomer",AND(D1329&gt;=6,D1329&lt;=10),"Proficient",D1329&gt;=10,"Expert")</f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41"/>
        <v>Voluntary</v>
      </c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40"/>
        <v>24</v>
      </c>
      <c r="E1330" s="6" t="str" cm="1">
        <f t="array" ref="E1330">_xlfn.IFS(D1330&lt;=5,"Newcomer",AND(D1330&gt;=6,D1330&lt;=10),"Proficient",D1330&gt;=10,"Expert")</f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41"/>
        <v>Involuntary</v>
      </c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40"/>
        <v>29</v>
      </c>
      <c r="E1331" s="6" t="str" cm="1">
        <f t="array" ref="E1331">_xlfn.IFS(D1331&lt;=5,"Newcomer",AND(D1331&gt;=6,D1331&lt;=10),"Proficient",D1331&gt;=10,"Expert")</f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41"/>
        <v>Voluntary</v>
      </c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40"/>
        <v>6</v>
      </c>
      <c r="E1332" s="6" t="str" cm="1">
        <f t="array" ref="E1332">_xlfn.IFS(D1332&lt;=5,"Newcomer",AND(D1332&gt;=6,D1332&lt;=10),"Proficient",D1332&gt;=10,"Expert")</f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41"/>
        <v>Voluntary</v>
      </c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40"/>
        <v>23</v>
      </c>
      <c r="E1333" s="6" t="str" cm="1">
        <f t="array" ref="E1333">_xlfn.IFS(D1333&lt;=5,"Newcomer",AND(D1333&gt;=6,D1333&lt;=10),"Proficient",D1333&gt;=10,"Expert")</f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41"/>
        <v>Involuntary</v>
      </c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40"/>
        <v>6</v>
      </c>
      <c r="E1334" s="6" t="str" cm="1">
        <f t="array" ref="E1334">_xlfn.IFS(D1334&lt;=5,"Newcomer",AND(D1334&gt;=6,D1334&lt;=10),"Proficient",D1334&gt;=10,"Expert")</f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41"/>
        <v>Voluntary</v>
      </c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40"/>
        <v>24</v>
      </c>
      <c r="E1335" s="6" t="str" cm="1">
        <f t="array" ref="E1335">_xlfn.IFS(D1335&lt;=5,"Newcomer",AND(D1335&gt;=6,D1335&lt;=10),"Proficient",D1335&gt;=10,"Expert")</f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41"/>
        <v>Voluntary</v>
      </c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40"/>
        <v>6</v>
      </c>
      <c r="E1336" s="6" t="str" cm="1">
        <f t="array" ref="E1336">_xlfn.IFS(D1336&lt;=5,"Newcomer",AND(D1336&gt;=6,D1336&lt;=10),"Proficient",D1336&gt;=10,"Expert")</f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41"/>
        <v>Voluntary</v>
      </c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40"/>
        <v>23</v>
      </c>
      <c r="E1337" s="6" t="str" cm="1">
        <f t="array" ref="E1337">_xlfn.IFS(D1337&lt;=5,"Newcomer",AND(D1337&gt;=6,D1337&lt;=10),"Proficient",D1337&gt;=10,"Expert")</f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41"/>
        <v>Voluntary</v>
      </c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40"/>
        <v>21</v>
      </c>
      <c r="E1338" s="6" t="str" cm="1">
        <f t="array" ref="E1338">_xlfn.IFS(D1338&lt;=5,"Newcomer",AND(D1338&gt;=6,D1338&lt;=10),"Proficient",D1338&gt;=10,"Expert")</f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41"/>
        <v>Voluntary</v>
      </c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40"/>
        <v>23</v>
      </c>
      <c r="E1339" s="6" t="str" cm="1">
        <f t="array" ref="E1339">_xlfn.IFS(D1339&lt;=5,"Newcomer",AND(D1339&gt;=6,D1339&lt;=10),"Proficient",D1339&gt;=10,"Expert")</f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41"/>
        <v>Voluntary</v>
      </c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40"/>
        <v>27</v>
      </c>
      <c r="E1340" s="6" t="str" cm="1">
        <f t="array" ref="E1340">_xlfn.IFS(D1340&lt;=5,"Newcomer",AND(D1340&gt;=6,D1340&lt;=10),"Proficient",D1340&gt;=10,"Expert")</f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41"/>
        <v>Voluntary</v>
      </c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40"/>
        <v>21</v>
      </c>
      <c r="E1341" s="6" t="str" cm="1">
        <f t="array" ref="E1341">_xlfn.IFS(D1341&lt;=5,"Newcomer",AND(D1341&gt;=6,D1341&lt;=10),"Proficient",D1341&gt;=10,"Expert")</f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41"/>
        <v>Voluntary</v>
      </c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40"/>
        <v>27</v>
      </c>
      <c r="E1342" s="6" t="str" cm="1">
        <f t="array" ref="E1342">_xlfn.IFS(D1342&lt;=5,"Newcomer",AND(D1342&gt;=6,D1342&lt;=10),"Proficient",D1342&gt;=10,"Expert")</f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41"/>
        <v>Voluntary</v>
      </c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40"/>
        <v>5</v>
      </c>
      <c r="E1343" s="6" t="str" cm="1">
        <f t="array" ref="E1343">_xlfn.IFS(D1343&lt;=5,"Newcomer",AND(D1343&gt;=6,D1343&lt;=10),"Proficient",D1343&gt;=10,"Expert")</f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41"/>
        <v>Voluntary</v>
      </c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40"/>
        <v>18</v>
      </c>
      <c r="E1344" s="6" t="str" cm="1">
        <f t="array" ref="E1344">_xlfn.IFS(D1344&lt;=5,"Newcomer",AND(D1344&gt;=6,D1344&lt;=10),"Proficient",D1344&gt;=10,"Expert")</f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41"/>
        <v>Voluntary</v>
      </c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40"/>
        <v>16</v>
      </c>
      <c r="E1345" s="6" t="str" cm="1">
        <f t="array" ref="E1345">_xlfn.IFS(D1345&lt;=5,"Newcomer",AND(D1345&gt;=6,D1345&lt;=10),"Proficient",D1345&gt;=10,"Expert")</f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41"/>
        <v>Involuntary</v>
      </c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40"/>
        <v>17</v>
      </c>
      <c r="E1346" s="6" t="str" cm="1">
        <f t="array" ref="E1346">_xlfn.IFS(D1346&lt;=5,"Newcomer",AND(D1346&gt;=6,D1346&lt;=10),"Proficient",D1346&gt;=10,"Expert")</f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41"/>
        <v>Voluntary</v>
      </c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42">YEAR(C1347)-YEAR(B1347)</f>
        <v>14</v>
      </c>
      <c r="E1347" s="6" t="str" cm="1">
        <f t="array" ref="E1347">_xlfn.IFS(D1347&lt;=5,"Newcomer",AND(D1347&gt;=6,D1347&lt;=10),"Proficient",D1347&gt;=10,"Expert")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ref="M1347:M1410" si="43">IF(OR(L1347="Retirement",L1347="Resignation"),"Voluntary","Involuntary")</f>
        <v>Voluntary</v>
      </c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42"/>
        <v>14</v>
      </c>
      <c r="E1348" s="6" t="str" cm="1">
        <f t="array" ref="E1348">_xlfn.IFS(D1348&lt;=5,"Newcomer",AND(D1348&gt;=6,D1348&lt;=10),"Proficient",D1348&gt;=10,"Expert")</f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43"/>
        <v>Involuntary</v>
      </c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42"/>
        <v>18</v>
      </c>
      <c r="E1349" s="6" t="str" cm="1">
        <f t="array" ref="E1349">_xlfn.IFS(D1349&lt;=5,"Newcomer",AND(D1349&gt;=6,D1349&lt;=10),"Proficient",D1349&gt;=10,"Expert")</f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43"/>
        <v>Voluntary</v>
      </c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42"/>
        <v>26</v>
      </c>
      <c r="E1350" s="6" t="str" cm="1">
        <f t="array" ref="E1350">_xlfn.IFS(D1350&lt;=5,"Newcomer",AND(D1350&gt;=6,D1350&lt;=10),"Proficient",D1350&gt;=10,"Expert")</f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43"/>
        <v>Voluntary</v>
      </c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42"/>
        <v>16</v>
      </c>
      <c r="E1351" s="6" t="str" cm="1">
        <f t="array" ref="E1351">_xlfn.IFS(D1351&lt;=5,"Newcomer",AND(D1351&gt;=6,D1351&lt;=10),"Proficient",D1351&gt;=10,"Expert")</f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43"/>
        <v>Voluntary</v>
      </c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42"/>
        <v>27</v>
      </c>
      <c r="E1352" s="6" t="str" cm="1">
        <f t="array" ref="E1352">_xlfn.IFS(D1352&lt;=5,"Newcomer",AND(D1352&gt;=6,D1352&lt;=10),"Proficient",D1352&gt;=10,"Expert")</f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43"/>
        <v>Voluntary</v>
      </c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42"/>
        <v>6</v>
      </c>
      <c r="E1353" s="6" t="str" cm="1">
        <f t="array" ref="E1353">_xlfn.IFS(D1353&lt;=5,"Newcomer",AND(D1353&gt;=6,D1353&lt;=10),"Proficient",D1353&gt;=10,"Expert")</f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43"/>
        <v>Voluntary</v>
      </c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42"/>
        <v>15</v>
      </c>
      <c r="E1354" s="6" t="str" cm="1">
        <f t="array" ref="E1354">_xlfn.IFS(D1354&lt;=5,"Newcomer",AND(D1354&gt;=6,D1354&lt;=10),"Proficient",D1354&gt;=10,"Expert")</f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43"/>
        <v>Voluntary</v>
      </c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42"/>
        <v>24</v>
      </c>
      <c r="E1355" s="6" t="str" cm="1">
        <f t="array" ref="E1355">_xlfn.IFS(D1355&lt;=5,"Newcomer",AND(D1355&gt;=6,D1355&lt;=10),"Proficient",D1355&gt;=10,"Expert")</f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43"/>
        <v>Voluntary</v>
      </c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42"/>
        <v>7</v>
      </c>
      <c r="E1356" s="6" t="str" cm="1">
        <f t="array" ref="E1356">_xlfn.IFS(D1356&lt;=5,"Newcomer",AND(D1356&gt;=6,D1356&lt;=10),"Proficient",D1356&gt;=10,"Expert")</f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43"/>
        <v>Voluntary</v>
      </c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42"/>
        <v>21</v>
      </c>
      <c r="E1357" s="6" t="str" cm="1">
        <f t="array" ref="E1357">_xlfn.IFS(D1357&lt;=5,"Newcomer",AND(D1357&gt;=6,D1357&lt;=10),"Proficient",D1357&gt;=10,"Expert")</f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43"/>
        <v>Voluntary</v>
      </c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42"/>
        <v>27</v>
      </c>
      <c r="E1358" s="6" t="str" cm="1">
        <f t="array" ref="E1358">_xlfn.IFS(D1358&lt;=5,"Newcomer",AND(D1358&gt;=6,D1358&lt;=10),"Proficient",D1358&gt;=10,"Expert")</f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43"/>
        <v>Voluntary</v>
      </c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42"/>
        <v>16</v>
      </c>
      <c r="E1359" s="6" t="str" cm="1">
        <f t="array" ref="E1359">_xlfn.IFS(D1359&lt;=5,"Newcomer",AND(D1359&gt;=6,D1359&lt;=10),"Proficient",D1359&gt;=10,"Expert")</f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43"/>
        <v>Voluntary</v>
      </c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42"/>
        <v>20</v>
      </c>
      <c r="E1360" s="6" t="str" cm="1">
        <f t="array" ref="E1360">_xlfn.IFS(D1360&lt;=5,"Newcomer",AND(D1360&gt;=6,D1360&lt;=10),"Proficient",D1360&gt;=10,"Expert")</f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43"/>
        <v>Voluntary</v>
      </c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42"/>
        <v>26</v>
      </c>
      <c r="E1361" s="6" t="str" cm="1">
        <f t="array" ref="E1361">_xlfn.IFS(D1361&lt;=5,"Newcomer",AND(D1361&gt;=6,D1361&lt;=10),"Proficient",D1361&gt;=10,"Expert")</f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43"/>
        <v>Voluntary</v>
      </c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42"/>
        <v>16</v>
      </c>
      <c r="E1362" s="6" t="str" cm="1">
        <f t="array" ref="E1362">_xlfn.IFS(D1362&lt;=5,"Newcomer",AND(D1362&gt;=6,D1362&lt;=10),"Proficient",D1362&gt;=10,"Expert")</f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43"/>
        <v>Voluntary</v>
      </c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42"/>
        <v>9</v>
      </c>
      <c r="E1363" s="6" t="str" cm="1">
        <f t="array" ref="E1363">_xlfn.IFS(D1363&lt;=5,"Newcomer",AND(D1363&gt;=6,D1363&lt;=10),"Proficient",D1363&gt;=10,"Expert")</f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43"/>
        <v>Voluntary</v>
      </c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42"/>
        <v>20</v>
      </c>
      <c r="E1364" s="6" t="str" cm="1">
        <f t="array" ref="E1364">_xlfn.IFS(D1364&lt;=5,"Newcomer",AND(D1364&gt;=6,D1364&lt;=10),"Proficient",D1364&gt;=10,"Expert")</f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43"/>
        <v>Voluntary</v>
      </c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42"/>
        <v>19</v>
      </c>
      <c r="E1365" s="6" t="str" cm="1">
        <f t="array" ref="E1365">_xlfn.IFS(D1365&lt;=5,"Newcomer",AND(D1365&gt;=6,D1365&lt;=10),"Proficient",D1365&gt;=10,"Expert")</f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43"/>
        <v>Voluntary</v>
      </c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42"/>
        <v>23</v>
      </c>
      <c r="E1366" s="6" t="str" cm="1">
        <f t="array" ref="E1366">_xlfn.IFS(D1366&lt;=5,"Newcomer",AND(D1366&gt;=6,D1366&lt;=10),"Proficient",D1366&gt;=10,"Expert")</f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43"/>
        <v>Involuntary</v>
      </c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42"/>
        <v>19</v>
      </c>
      <c r="E1367" s="6" t="str" cm="1">
        <f t="array" ref="E1367">_xlfn.IFS(D1367&lt;=5,"Newcomer",AND(D1367&gt;=6,D1367&lt;=10),"Proficient",D1367&gt;=10,"Expert")</f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43"/>
        <v>Involuntary</v>
      </c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42"/>
        <v>30</v>
      </c>
      <c r="E1368" s="6" t="str" cm="1">
        <f t="array" ref="E1368">_xlfn.IFS(D1368&lt;=5,"Newcomer",AND(D1368&gt;=6,D1368&lt;=10),"Proficient",D1368&gt;=10,"Expert")</f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43"/>
        <v>Involuntary</v>
      </c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42"/>
        <v>20</v>
      </c>
      <c r="E1369" s="6" t="str" cm="1">
        <f t="array" ref="E1369">_xlfn.IFS(D1369&lt;=5,"Newcomer",AND(D1369&gt;=6,D1369&lt;=10),"Proficient",D1369&gt;=10,"Expert")</f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43"/>
        <v>Voluntary</v>
      </c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42"/>
        <v>24</v>
      </c>
      <c r="E1370" s="6" t="str" cm="1">
        <f t="array" ref="E1370">_xlfn.IFS(D1370&lt;=5,"Newcomer",AND(D1370&gt;=6,D1370&lt;=10),"Proficient",D1370&gt;=10,"Expert")</f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43"/>
        <v>Voluntary</v>
      </c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42"/>
        <v>11</v>
      </c>
      <c r="E1371" s="6" t="str" cm="1">
        <f t="array" ref="E1371">_xlfn.IFS(D1371&lt;=5,"Newcomer",AND(D1371&gt;=6,D1371&lt;=10),"Proficient",D1371&gt;=10,"Expert")</f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43"/>
        <v>Voluntary</v>
      </c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42"/>
        <v>17</v>
      </c>
      <c r="E1372" s="6" t="str" cm="1">
        <f t="array" ref="E1372">_xlfn.IFS(D1372&lt;=5,"Newcomer",AND(D1372&gt;=6,D1372&lt;=10),"Proficient",D1372&gt;=10,"Expert")</f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43"/>
        <v>Voluntary</v>
      </c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42"/>
        <v>20</v>
      </c>
      <c r="E1373" s="6" t="str" cm="1">
        <f t="array" ref="E1373">_xlfn.IFS(D1373&lt;=5,"Newcomer",AND(D1373&gt;=6,D1373&lt;=10),"Proficient",D1373&gt;=10,"Expert")</f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43"/>
        <v>Voluntary</v>
      </c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42"/>
        <v>27</v>
      </c>
      <c r="E1374" s="6" t="str" cm="1">
        <f t="array" ref="E1374">_xlfn.IFS(D1374&lt;=5,"Newcomer",AND(D1374&gt;=6,D1374&lt;=10),"Proficient",D1374&gt;=10,"Expert")</f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43"/>
        <v>Voluntary</v>
      </c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42"/>
        <v>30</v>
      </c>
      <c r="E1375" s="6" t="str" cm="1">
        <f t="array" ref="E1375">_xlfn.IFS(D1375&lt;=5,"Newcomer",AND(D1375&gt;=6,D1375&lt;=10),"Proficient",D1375&gt;=10,"Expert")</f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43"/>
        <v>Voluntary</v>
      </c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42"/>
        <v>10</v>
      </c>
      <c r="E1376" s="6" t="str" cm="1">
        <f t="array" ref="E1376">_xlfn.IFS(D1376&lt;=5,"Newcomer",AND(D1376&gt;=6,D1376&lt;=10),"Proficient",D1376&gt;=10,"Expert")</f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43"/>
        <v>Voluntary</v>
      </c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42"/>
        <v>21</v>
      </c>
      <c r="E1377" s="6" t="str" cm="1">
        <f t="array" ref="E1377">_xlfn.IFS(D1377&lt;=5,"Newcomer",AND(D1377&gt;=6,D1377&lt;=10),"Proficient",D1377&gt;=10,"Expert")</f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43"/>
        <v>Voluntary</v>
      </c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42"/>
        <v>10</v>
      </c>
      <c r="E1378" s="6" t="str" cm="1">
        <f t="array" ref="E1378">_xlfn.IFS(D1378&lt;=5,"Newcomer",AND(D1378&gt;=6,D1378&lt;=10),"Proficient",D1378&gt;=10,"Expert")</f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43"/>
        <v>Voluntary</v>
      </c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42"/>
        <v>30</v>
      </c>
      <c r="E1379" s="6" t="str" cm="1">
        <f t="array" ref="E1379">_xlfn.IFS(D1379&lt;=5,"Newcomer",AND(D1379&gt;=6,D1379&lt;=10),"Proficient",D1379&gt;=10,"Expert")</f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43"/>
        <v>Involuntary</v>
      </c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42"/>
        <v>19</v>
      </c>
      <c r="E1380" s="6" t="str" cm="1">
        <f t="array" ref="E1380">_xlfn.IFS(D1380&lt;=5,"Newcomer",AND(D1380&gt;=6,D1380&lt;=10),"Proficient",D1380&gt;=10,"Expert")</f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43"/>
        <v>Voluntary</v>
      </c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42"/>
        <v>24</v>
      </c>
      <c r="E1381" s="6" t="str" cm="1">
        <f t="array" ref="E1381">_xlfn.IFS(D1381&lt;=5,"Newcomer",AND(D1381&gt;=6,D1381&lt;=10),"Proficient",D1381&gt;=10,"Expert")</f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43"/>
        <v>Voluntary</v>
      </c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42"/>
        <v>9</v>
      </c>
      <c r="E1382" s="6" t="str" cm="1">
        <f t="array" ref="E1382">_xlfn.IFS(D1382&lt;=5,"Newcomer",AND(D1382&gt;=6,D1382&lt;=10),"Proficient",D1382&gt;=10,"Expert")</f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43"/>
        <v>Voluntary</v>
      </c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42"/>
        <v>7</v>
      </c>
      <c r="E1383" s="6" t="str" cm="1">
        <f t="array" ref="E1383">_xlfn.IFS(D1383&lt;=5,"Newcomer",AND(D1383&gt;=6,D1383&lt;=10),"Proficient",D1383&gt;=10,"Expert")</f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43"/>
        <v>Voluntary</v>
      </c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42"/>
        <v>7</v>
      </c>
      <c r="E1384" s="6" t="str" cm="1">
        <f t="array" ref="E1384">_xlfn.IFS(D1384&lt;=5,"Newcomer",AND(D1384&gt;=6,D1384&lt;=10),"Proficient",D1384&gt;=10,"Expert")</f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43"/>
        <v>Voluntary</v>
      </c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42"/>
        <v>21</v>
      </c>
      <c r="E1385" s="6" t="str" cm="1">
        <f t="array" ref="E1385">_xlfn.IFS(D1385&lt;=5,"Newcomer",AND(D1385&gt;=6,D1385&lt;=10),"Proficient",D1385&gt;=10,"Expert")</f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43"/>
        <v>Voluntary</v>
      </c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42"/>
        <v>14</v>
      </c>
      <c r="E1386" s="6" t="str" cm="1">
        <f t="array" ref="E1386">_xlfn.IFS(D1386&lt;=5,"Newcomer",AND(D1386&gt;=6,D1386&lt;=10),"Proficient",D1386&gt;=10,"Expert")</f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43"/>
        <v>Involuntary</v>
      </c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42"/>
        <v>22</v>
      </c>
      <c r="E1387" s="6" t="str" cm="1">
        <f t="array" ref="E1387">_xlfn.IFS(D1387&lt;=5,"Newcomer",AND(D1387&gt;=6,D1387&lt;=10),"Proficient",D1387&gt;=10,"Expert")</f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43"/>
        <v>Voluntary</v>
      </c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42"/>
        <v>27</v>
      </c>
      <c r="E1388" s="6" t="str" cm="1">
        <f t="array" ref="E1388">_xlfn.IFS(D1388&lt;=5,"Newcomer",AND(D1388&gt;=6,D1388&lt;=10),"Proficient",D1388&gt;=10,"Expert")</f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43"/>
        <v>Voluntary</v>
      </c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42"/>
        <v>18</v>
      </c>
      <c r="E1389" s="6" t="str" cm="1">
        <f t="array" ref="E1389">_xlfn.IFS(D1389&lt;=5,"Newcomer",AND(D1389&gt;=6,D1389&lt;=10),"Proficient",D1389&gt;=10,"Expert")</f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43"/>
        <v>Involuntary</v>
      </c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42"/>
        <v>6</v>
      </c>
      <c r="E1390" s="6" t="str" cm="1">
        <f t="array" ref="E1390">_xlfn.IFS(D1390&lt;=5,"Newcomer",AND(D1390&gt;=6,D1390&lt;=10),"Proficient",D1390&gt;=10,"Expert")</f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43"/>
        <v>Involuntary</v>
      </c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42"/>
        <v>11</v>
      </c>
      <c r="E1391" s="6" t="str" cm="1">
        <f t="array" ref="E1391">_xlfn.IFS(D1391&lt;=5,"Newcomer",AND(D1391&gt;=6,D1391&lt;=10),"Proficient",D1391&gt;=10,"Expert")</f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43"/>
        <v>Voluntary</v>
      </c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42"/>
        <v>25</v>
      </c>
      <c r="E1392" s="6" t="str" cm="1">
        <f t="array" ref="E1392">_xlfn.IFS(D1392&lt;=5,"Newcomer",AND(D1392&gt;=6,D1392&lt;=10),"Proficient",D1392&gt;=10,"Expert")</f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43"/>
        <v>Involuntary</v>
      </c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42"/>
        <v>11</v>
      </c>
      <c r="E1393" s="6" t="str" cm="1">
        <f t="array" ref="E1393">_xlfn.IFS(D1393&lt;=5,"Newcomer",AND(D1393&gt;=6,D1393&lt;=10),"Proficient",D1393&gt;=10,"Expert")</f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43"/>
        <v>Involuntary</v>
      </c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42"/>
        <v>19</v>
      </c>
      <c r="E1394" s="6" t="str" cm="1">
        <f t="array" ref="E1394">_xlfn.IFS(D1394&lt;=5,"Newcomer",AND(D1394&gt;=6,D1394&lt;=10),"Proficient",D1394&gt;=10,"Expert")</f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43"/>
        <v>Voluntary</v>
      </c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42"/>
        <v>19</v>
      </c>
      <c r="E1395" s="6" t="str" cm="1">
        <f t="array" ref="E1395">_xlfn.IFS(D1395&lt;=5,"Newcomer",AND(D1395&gt;=6,D1395&lt;=10),"Proficient",D1395&gt;=10,"Expert")</f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43"/>
        <v>Voluntary</v>
      </c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42"/>
        <v>23</v>
      </c>
      <c r="E1396" s="6" t="str" cm="1">
        <f t="array" ref="E1396">_xlfn.IFS(D1396&lt;=5,"Newcomer",AND(D1396&gt;=6,D1396&lt;=10),"Proficient",D1396&gt;=10,"Expert")</f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43"/>
        <v>Involuntary</v>
      </c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42"/>
        <v>14</v>
      </c>
      <c r="E1397" s="6" t="str" cm="1">
        <f t="array" ref="E1397">_xlfn.IFS(D1397&lt;=5,"Newcomer",AND(D1397&gt;=6,D1397&lt;=10),"Proficient",D1397&gt;=10,"Expert")</f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43"/>
        <v>Voluntary</v>
      </c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42"/>
        <v>10</v>
      </c>
      <c r="E1398" s="6" t="str" cm="1">
        <f t="array" ref="E1398">_xlfn.IFS(D1398&lt;=5,"Newcomer",AND(D1398&gt;=6,D1398&lt;=10),"Proficient",D1398&gt;=10,"Expert")</f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43"/>
        <v>Voluntary</v>
      </c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42"/>
        <v>17</v>
      </c>
      <c r="E1399" s="6" t="str" cm="1">
        <f t="array" ref="E1399">_xlfn.IFS(D1399&lt;=5,"Newcomer",AND(D1399&gt;=6,D1399&lt;=10),"Proficient",D1399&gt;=10,"Expert")</f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43"/>
        <v>Involuntary</v>
      </c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42"/>
        <v>16</v>
      </c>
      <c r="E1400" s="6" t="str" cm="1">
        <f t="array" ref="E1400">_xlfn.IFS(D1400&lt;=5,"Newcomer",AND(D1400&gt;=6,D1400&lt;=10),"Proficient",D1400&gt;=10,"Expert")</f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43"/>
        <v>Involuntary</v>
      </c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42"/>
        <v>20</v>
      </c>
      <c r="E1401" s="6" t="str" cm="1">
        <f t="array" ref="E1401">_xlfn.IFS(D1401&lt;=5,"Newcomer",AND(D1401&gt;=6,D1401&lt;=10),"Proficient",D1401&gt;=10,"Expert")</f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43"/>
        <v>Involuntary</v>
      </c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42"/>
        <v>6</v>
      </c>
      <c r="E1402" s="6" t="str" cm="1">
        <f t="array" ref="E1402">_xlfn.IFS(D1402&lt;=5,"Newcomer",AND(D1402&gt;=6,D1402&lt;=10),"Proficient",D1402&gt;=10,"Expert")</f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43"/>
        <v>Voluntary</v>
      </c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42"/>
        <v>11</v>
      </c>
      <c r="E1403" s="6" t="str" cm="1">
        <f t="array" ref="E1403">_xlfn.IFS(D1403&lt;=5,"Newcomer",AND(D1403&gt;=6,D1403&lt;=10),"Proficient",D1403&gt;=10,"Expert")</f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43"/>
        <v>Involuntary</v>
      </c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42"/>
        <v>24</v>
      </c>
      <c r="E1404" s="6" t="str" cm="1">
        <f t="array" ref="E1404">_xlfn.IFS(D1404&lt;=5,"Newcomer",AND(D1404&gt;=6,D1404&lt;=10),"Proficient",D1404&gt;=10,"Expert")</f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43"/>
        <v>Involuntary</v>
      </c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42"/>
        <v>5</v>
      </c>
      <c r="E1405" s="6" t="str" cm="1">
        <f t="array" ref="E1405">_xlfn.IFS(D1405&lt;=5,"Newcomer",AND(D1405&gt;=6,D1405&lt;=10),"Proficient",D1405&gt;=10,"Expert")</f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43"/>
        <v>Involuntary</v>
      </c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42"/>
        <v>29</v>
      </c>
      <c r="E1406" s="6" t="str" cm="1">
        <f t="array" ref="E1406">_xlfn.IFS(D1406&lt;=5,"Newcomer",AND(D1406&gt;=6,D1406&lt;=10),"Proficient",D1406&gt;=10,"Expert")</f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43"/>
        <v>Involuntary</v>
      </c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42"/>
        <v>5</v>
      </c>
      <c r="E1407" s="6" t="str" cm="1">
        <f t="array" ref="E1407">_xlfn.IFS(D1407&lt;=5,"Newcomer",AND(D1407&gt;=6,D1407&lt;=10),"Proficient",D1407&gt;=10,"Expert")</f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43"/>
        <v>Voluntary</v>
      </c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42"/>
        <v>15</v>
      </c>
      <c r="E1408" s="6" t="str" cm="1">
        <f t="array" ref="E1408">_xlfn.IFS(D1408&lt;=5,"Newcomer",AND(D1408&gt;=6,D1408&lt;=10),"Proficient",D1408&gt;=10,"Expert")</f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43"/>
        <v>Voluntary</v>
      </c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42"/>
        <v>25</v>
      </c>
      <c r="E1409" s="6" t="str" cm="1">
        <f t="array" ref="E1409">_xlfn.IFS(D1409&lt;=5,"Newcomer",AND(D1409&gt;=6,D1409&lt;=10),"Proficient",D1409&gt;=10,"Expert")</f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43"/>
        <v>Voluntary</v>
      </c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42"/>
        <v>27</v>
      </c>
      <c r="E1410" s="6" t="str" cm="1">
        <f t="array" ref="E1410">_xlfn.IFS(D1410&lt;=5,"Newcomer",AND(D1410&gt;=6,D1410&lt;=10),"Proficient",D1410&gt;=10,"Expert")</f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43"/>
        <v>Voluntary</v>
      </c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44">YEAR(C1411)-YEAR(B1411)</f>
        <v>17</v>
      </c>
      <c r="E1411" s="6" t="str" cm="1">
        <f t="array" ref="E1411">_xlfn.IFS(D1411&lt;=5,"Newcomer",AND(D1411&gt;=6,D1411&lt;=10),"Proficient",D1411&gt;=10,"Expert")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ref="M1411:M1474" si="45">IF(OR(L1411="Retirement",L1411="Resignation"),"Voluntary","Involuntary")</f>
        <v>Voluntary</v>
      </c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44"/>
        <v>7</v>
      </c>
      <c r="E1412" s="6" t="str" cm="1">
        <f t="array" ref="E1412">_xlfn.IFS(D1412&lt;=5,"Newcomer",AND(D1412&gt;=6,D1412&lt;=10),"Proficient",D1412&gt;=10,"Expert")</f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45"/>
        <v>Involuntary</v>
      </c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44"/>
        <v>18</v>
      </c>
      <c r="E1413" s="6" t="str" cm="1">
        <f t="array" ref="E1413">_xlfn.IFS(D1413&lt;=5,"Newcomer",AND(D1413&gt;=6,D1413&lt;=10),"Proficient",D1413&gt;=10,"Expert")</f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45"/>
        <v>Voluntary</v>
      </c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44"/>
        <v>17</v>
      </c>
      <c r="E1414" s="6" t="str" cm="1">
        <f t="array" ref="E1414">_xlfn.IFS(D1414&lt;=5,"Newcomer",AND(D1414&gt;=6,D1414&lt;=10),"Proficient",D1414&gt;=10,"Expert")</f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45"/>
        <v>Voluntary</v>
      </c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44"/>
        <v>6</v>
      </c>
      <c r="E1415" s="6" t="str" cm="1">
        <f t="array" ref="E1415">_xlfn.IFS(D1415&lt;=5,"Newcomer",AND(D1415&gt;=6,D1415&lt;=10),"Proficient",D1415&gt;=10,"Expert")</f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45"/>
        <v>Voluntary</v>
      </c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44"/>
        <v>18</v>
      </c>
      <c r="E1416" s="6" t="str" cm="1">
        <f t="array" ref="E1416">_xlfn.IFS(D1416&lt;=5,"Newcomer",AND(D1416&gt;=6,D1416&lt;=10),"Proficient",D1416&gt;=10,"Expert")</f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45"/>
        <v>Voluntary</v>
      </c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44"/>
        <v>20</v>
      </c>
      <c r="E1417" s="6" t="str" cm="1">
        <f t="array" ref="E1417">_xlfn.IFS(D1417&lt;=5,"Newcomer",AND(D1417&gt;=6,D1417&lt;=10),"Proficient",D1417&gt;=10,"Expert")</f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45"/>
        <v>Voluntary</v>
      </c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44"/>
        <v>19</v>
      </c>
      <c r="E1418" s="6" t="str" cm="1">
        <f t="array" ref="E1418">_xlfn.IFS(D1418&lt;=5,"Newcomer",AND(D1418&gt;=6,D1418&lt;=10),"Proficient",D1418&gt;=10,"Expert")</f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45"/>
        <v>Voluntary</v>
      </c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44"/>
        <v>24</v>
      </c>
      <c r="E1419" s="6" t="str" cm="1">
        <f t="array" ref="E1419">_xlfn.IFS(D1419&lt;=5,"Newcomer",AND(D1419&gt;=6,D1419&lt;=10),"Proficient",D1419&gt;=10,"Expert")</f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45"/>
        <v>Voluntary</v>
      </c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44"/>
        <v>13</v>
      </c>
      <c r="E1420" s="6" t="str" cm="1">
        <f t="array" ref="E1420">_xlfn.IFS(D1420&lt;=5,"Newcomer",AND(D1420&gt;=6,D1420&lt;=10),"Proficient",D1420&gt;=10,"Expert")</f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45"/>
        <v>Voluntary</v>
      </c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44"/>
        <v>22</v>
      </c>
      <c r="E1421" s="6" t="str" cm="1">
        <f t="array" ref="E1421">_xlfn.IFS(D1421&lt;=5,"Newcomer",AND(D1421&gt;=6,D1421&lt;=10),"Proficient",D1421&gt;=10,"Expert")</f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45"/>
        <v>Voluntary</v>
      </c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44"/>
        <v>29</v>
      </c>
      <c r="E1422" s="6" t="str" cm="1">
        <f t="array" ref="E1422">_xlfn.IFS(D1422&lt;=5,"Newcomer",AND(D1422&gt;=6,D1422&lt;=10),"Proficient",D1422&gt;=10,"Expert")</f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45"/>
        <v>Voluntary</v>
      </c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44"/>
        <v>5</v>
      </c>
      <c r="E1423" s="6" t="str" cm="1">
        <f t="array" ref="E1423">_xlfn.IFS(D1423&lt;=5,"Newcomer",AND(D1423&gt;=6,D1423&lt;=10),"Proficient",D1423&gt;=10,"Expert")</f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45"/>
        <v>Voluntary</v>
      </c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44"/>
        <v>13</v>
      </c>
      <c r="E1424" s="6" t="str" cm="1">
        <f t="array" ref="E1424">_xlfn.IFS(D1424&lt;=5,"Newcomer",AND(D1424&gt;=6,D1424&lt;=10),"Proficient",D1424&gt;=10,"Expert")</f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45"/>
        <v>Voluntary</v>
      </c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44"/>
        <v>25</v>
      </c>
      <c r="E1425" s="6" t="str" cm="1">
        <f t="array" ref="E1425">_xlfn.IFS(D1425&lt;=5,"Newcomer",AND(D1425&gt;=6,D1425&lt;=10),"Proficient",D1425&gt;=10,"Expert")</f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45"/>
        <v>Voluntary</v>
      </c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44"/>
        <v>19</v>
      </c>
      <c r="E1426" s="6" t="str" cm="1">
        <f t="array" ref="E1426">_xlfn.IFS(D1426&lt;=5,"Newcomer",AND(D1426&gt;=6,D1426&lt;=10),"Proficient",D1426&gt;=10,"Expert")</f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45"/>
        <v>Involuntary</v>
      </c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44"/>
        <v>16</v>
      </c>
      <c r="E1427" s="6" t="str" cm="1">
        <f t="array" ref="E1427">_xlfn.IFS(D1427&lt;=5,"Newcomer",AND(D1427&gt;=6,D1427&lt;=10),"Proficient",D1427&gt;=10,"Expert")</f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45"/>
        <v>Voluntary</v>
      </c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44"/>
        <v>15</v>
      </c>
      <c r="E1428" s="6" t="str" cm="1">
        <f t="array" ref="E1428">_xlfn.IFS(D1428&lt;=5,"Newcomer",AND(D1428&gt;=6,D1428&lt;=10),"Proficient",D1428&gt;=10,"Expert")</f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45"/>
        <v>Involuntary</v>
      </c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44"/>
        <v>11</v>
      </c>
      <c r="E1429" s="6" t="str" cm="1">
        <f t="array" ref="E1429">_xlfn.IFS(D1429&lt;=5,"Newcomer",AND(D1429&gt;=6,D1429&lt;=10),"Proficient",D1429&gt;=10,"Expert")</f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45"/>
        <v>Involuntary</v>
      </c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44"/>
        <v>17</v>
      </c>
      <c r="E1430" s="6" t="str" cm="1">
        <f t="array" ref="E1430">_xlfn.IFS(D1430&lt;=5,"Newcomer",AND(D1430&gt;=6,D1430&lt;=10),"Proficient",D1430&gt;=10,"Expert")</f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45"/>
        <v>Involuntary</v>
      </c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44"/>
        <v>8</v>
      </c>
      <c r="E1431" s="6" t="str" cm="1">
        <f t="array" ref="E1431">_xlfn.IFS(D1431&lt;=5,"Newcomer",AND(D1431&gt;=6,D1431&lt;=10),"Proficient",D1431&gt;=10,"Expert")</f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45"/>
        <v>Voluntary</v>
      </c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44"/>
        <v>11</v>
      </c>
      <c r="E1432" s="6" t="str" cm="1">
        <f t="array" ref="E1432">_xlfn.IFS(D1432&lt;=5,"Newcomer",AND(D1432&gt;=6,D1432&lt;=10),"Proficient",D1432&gt;=10,"Expert")</f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45"/>
        <v>Involuntary</v>
      </c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44"/>
        <v>14</v>
      </c>
      <c r="E1433" s="6" t="str" cm="1">
        <f t="array" ref="E1433">_xlfn.IFS(D1433&lt;=5,"Newcomer",AND(D1433&gt;=6,D1433&lt;=10),"Proficient",D1433&gt;=10,"Expert")</f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45"/>
        <v>Involuntary</v>
      </c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44"/>
        <v>26</v>
      </c>
      <c r="E1434" s="6" t="str" cm="1">
        <f t="array" ref="E1434">_xlfn.IFS(D1434&lt;=5,"Newcomer",AND(D1434&gt;=6,D1434&lt;=10),"Proficient",D1434&gt;=10,"Expert")</f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45"/>
        <v>Involuntary</v>
      </c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44"/>
        <v>9</v>
      </c>
      <c r="E1435" s="6" t="str" cm="1">
        <f t="array" ref="E1435">_xlfn.IFS(D1435&lt;=5,"Newcomer",AND(D1435&gt;=6,D1435&lt;=10),"Proficient",D1435&gt;=10,"Expert")</f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45"/>
        <v>Voluntary</v>
      </c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44"/>
        <v>12</v>
      </c>
      <c r="E1436" s="6" t="str" cm="1">
        <f t="array" ref="E1436">_xlfn.IFS(D1436&lt;=5,"Newcomer",AND(D1436&gt;=6,D1436&lt;=10),"Proficient",D1436&gt;=10,"Expert")</f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45"/>
        <v>Involuntary</v>
      </c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44"/>
        <v>17</v>
      </c>
      <c r="E1437" s="6" t="str" cm="1">
        <f t="array" ref="E1437">_xlfn.IFS(D1437&lt;=5,"Newcomer",AND(D1437&gt;=6,D1437&lt;=10),"Proficient",D1437&gt;=10,"Expert")</f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45"/>
        <v>Involuntary</v>
      </c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44"/>
        <v>9</v>
      </c>
      <c r="E1438" s="6" t="str" cm="1">
        <f t="array" ref="E1438">_xlfn.IFS(D1438&lt;=5,"Newcomer",AND(D1438&gt;=6,D1438&lt;=10),"Proficient",D1438&gt;=10,"Expert")</f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45"/>
        <v>Involuntary</v>
      </c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44"/>
        <v>25</v>
      </c>
      <c r="E1439" s="6" t="str" cm="1">
        <f t="array" ref="E1439">_xlfn.IFS(D1439&lt;=5,"Newcomer",AND(D1439&gt;=6,D1439&lt;=10),"Proficient",D1439&gt;=10,"Expert")</f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45"/>
        <v>Voluntary</v>
      </c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44"/>
        <v>29</v>
      </c>
      <c r="E1440" s="6" t="str" cm="1">
        <f t="array" ref="E1440">_xlfn.IFS(D1440&lt;=5,"Newcomer",AND(D1440&gt;=6,D1440&lt;=10),"Proficient",D1440&gt;=10,"Expert")</f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45"/>
        <v>Voluntary</v>
      </c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44"/>
        <v>23</v>
      </c>
      <c r="E1441" s="6" t="str" cm="1">
        <f t="array" ref="E1441">_xlfn.IFS(D1441&lt;=5,"Newcomer",AND(D1441&gt;=6,D1441&lt;=10),"Proficient",D1441&gt;=10,"Expert")</f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45"/>
        <v>Voluntary</v>
      </c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44"/>
        <v>10</v>
      </c>
      <c r="E1442" s="6" t="str" cm="1">
        <f t="array" ref="E1442">_xlfn.IFS(D1442&lt;=5,"Newcomer",AND(D1442&gt;=6,D1442&lt;=10),"Proficient",D1442&gt;=10,"Expert")</f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45"/>
        <v>Voluntary</v>
      </c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44"/>
        <v>28</v>
      </c>
      <c r="E1443" s="6" t="str" cm="1">
        <f t="array" ref="E1443">_xlfn.IFS(D1443&lt;=5,"Newcomer",AND(D1443&gt;=6,D1443&lt;=10),"Proficient",D1443&gt;=10,"Expert")</f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45"/>
        <v>Voluntary</v>
      </c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44"/>
        <v>28</v>
      </c>
      <c r="E1444" s="6" t="str" cm="1">
        <f t="array" ref="E1444">_xlfn.IFS(D1444&lt;=5,"Newcomer",AND(D1444&gt;=6,D1444&lt;=10),"Proficient",D1444&gt;=10,"Expert")</f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45"/>
        <v>Voluntary</v>
      </c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44"/>
        <v>26</v>
      </c>
      <c r="E1445" s="6" t="str" cm="1">
        <f t="array" ref="E1445">_xlfn.IFS(D1445&lt;=5,"Newcomer",AND(D1445&gt;=6,D1445&lt;=10),"Proficient",D1445&gt;=10,"Expert")</f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45"/>
        <v>Voluntary</v>
      </c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44"/>
        <v>25</v>
      </c>
      <c r="E1446" s="6" t="str" cm="1">
        <f t="array" ref="E1446">_xlfn.IFS(D1446&lt;=5,"Newcomer",AND(D1446&gt;=6,D1446&lt;=10),"Proficient",D1446&gt;=10,"Expert")</f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45"/>
        <v>Voluntary</v>
      </c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44"/>
        <v>12</v>
      </c>
      <c r="E1447" s="6" t="str" cm="1">
        <f t="array" ref="E1447">_xlfn.IFS(D1447&lt;=5,"Newcomer",AND(D1447&gt;=6,D1447&lt;=10),"Proficient",D1447&gt;=10,"Expert")</f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45"/>
        <v>Voluntary</v>
      </c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44"/>
        <v>24</v>
      </c>
      <c r="E1448" s="6" t="str" cm="1">
        <f t="array" ref="E1448">_xlfn.IFS(D1448&lt;=5,"Newcomer",AND(D1448&gt;=6,D1448&lt;=10),"Proficient",D1448&gt;=10,"Expert")</f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45"/>
        <v>Voluntary</v>
      </c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44"/>
        <v>21</v>
      </c>
      <c r="E1449" s="6" t="str" cm="1">
        <f t="array" ref="E1449">_xlfn.IFS(D1449&lt;=5,"Newcomer",AND(D1449&gt;=6,D1449&lt;=10),"Proficient",D1449&gt;=10,"Expert")</f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45"/>
        <v>Voluntary</v>
      </c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44"/>
        <v>13</v>
      </c>
      <c r="E1450" s="6" t="str" cm="1">
        <f t="array" ref="E1450">_xlfn.IFS(D1450&lt;=5,"Newcomer",AND(D1450&gt;=6,D1450&lt;=10),"Proficient",D1450&gt;=10,"Expert")</f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45"/>
        <v>Voluntary</v>
      </c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44"/>
        <v>17</v>
      </c>
      <c r="E1451" s="6" t="str" cm="1">
        <f t="array" ref="E1451">_xlfn.IFS(D1451&lt;=5,"Newcomer",AND(D1451&gt;=6,D1451&lt;=10),"Proficient",D1451&gt;=10,"Expert")</f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45"/>
        <v>Voluntary</v>
      </c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44"/>
        <v>11</v>
      </c>
      <c r="E1452" s="6" t="str" cm="1">
        <f t="array" ref="E1452">_xlfn.IFS(D1452&lt;=5,"Newcomer",AND(D1452&gt;=6,D1452&lt;=10),"Proficient",D1452&gt;=10,"Expert")</f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45"/>
        <v>Voluntary</v>
      </c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44"/>
        <v>14</v>
      </c>
      <c r="E1453" s="6" t="str" cm="1">
        <f t="array" ref="E1453">_xlfn.IFS(D1453&lt;=5,"Newcomer",AND(D1453&gt;=6,D1453&lt;=10),"Proficient",D1453&gt;=10,"Expert")</f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45"/>
        <v>Voluntary</v>
      </c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44"/>
        <v>21</v>
      </c>
      <c r="E1454" s="6" t="str" cm="1">
        <f t="array" ref="E1454">_xlfn.IFS(D1454&lt;=5,"Newcomer",AND(D1454&gt;=6,D1454&lt;=10),"Proficient",D1454&gt;=10,"Expert")</f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45"/>
        <v>Voluntary</v>
      </c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44"/>
        <v>14</v>
      </c>
      <c r="E1455" s="6" t="str" cm="1">
        <f t="array" ref="E1455">_xlfn.IFS(D1455&lt;=5,"Newcomer",AND(D1455&gt;=6,D1455&lt;=10),"Proficient",D1455&gt;=10,"Expert")</f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45"/>
        <v>Voluntary</v>
      </c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44"/>
        <v>21</v>
      </c>
      <c r="E1456" s="6" t="str" cm="1">
        <f t="array" ref="E1456">_xlfn.IFS(D1456&lt;=5,"Newcomer",AND(D1456&gt;=6,D1456&lt;=10),"Proficient",D1456&gt;=10,"Expert")</f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45"/>
        <v>Voluntary</v>
      </c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44"/>
        <v>26</v>
      </c>
      <c r="E1457" s="6" t="str" cm="1">
        <f t="array" ref="E1457">_xlfn.IFS(D1457&lt;=5,"Newcomer",AND(D1457&gt;=6,D1457&lt;=10),"Proficient",D1457&gt;=10,"Expert")</f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45"/>
        <v>Voluntary</v>
      </c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44"/>
        <v>7</v>
      </c>
      <c r="E1458" s="6" t="str" cm="1">
        <f t="array" ref="E1458">_xlfn.IFS(D1458&lt;=5,"Newcomer",AND(D1458&gt;=6,D1458&lt;=10),"Proficient",D1458&gt;=10,"Expert")</f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45"/>
        <v>Voluntary</v>
      </c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44"/>
        <v>29</v>
      </c>
      <c r="E1459" s="6" t="str" cm="1">
        <f t="array" ref="E1459">_xlfn.IFS(D1459&lt;=5,"Newcomer",AND(D1459&gt;=6,D1459&lt;=10),"Proficient",D1459&gt;=10,"Expert")</f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45"/>
        <v>Voluntary</v>
      </c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44"/>
        <v>6</v>
      </c>
      <c r="E1460" s="6" t="str" cm="1">
        <f t="array" ref="E1460">_xlfn.IFS(D1460&lt;=5,"Newcomer",AND(D1460&gt;=6,D1460&lt;=10),"Proficient",D1460&gt;=10,"Expert")</f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45"/>
        <v>Voluntary</v>
      </c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44"/>
        <v>6</v>
      </c>
      <c r="E1461" s="6" t="str" cm="1">
        <f t="array" ref="E1461">_xlfn.IFS(D1461&lt;=5,"Newcomer",AND(D1461&gt;=6,D1461&lt;=10),"Proficient",D1461&gt;=10,"Expert")</f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45"/>
        <v>Voluntary</v>
      </c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44"/>
        <v>30</v>
      </c>
      <c r="E1462" s="6" t="str" cm="1">
        <f t="array" ref="E1462">_xlfn.IFS(D1462&lt;=5,"Newcomer",AND(D1462&gt;=6,D1462&lt;=10),"Proficient",D1462&gt;=10,"Expert")</f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45"/>
        <v>Voluntary</v>
      </c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44"/>
        <v>30</v>
      </c>
      <c r="E1463" s="6" t="str" cm="1">
        <f t="array" ref="E1463">_xlfn.IFS(D1463&lt;=5,"Newcomer",AND(D1463&gt;=6,D1463&lt;=10),"Proficient",D1463&gt;=10,"Expert")</f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45"/>
        <v>Voluntary</v>
      </c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44"/>
        <v>30</v>
      </c>
      <c r="E1464" s="6" t="str" cm="1">
        <f t="array" ref="E1464">_xlfn.IFS(D1464&lt;=5,"Newcomer",AND(D1464&gt;=6,D1464&lt;=10),"Proficient",D1464&gt;=10,"Expert")</f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45"/>
        <v>Voluntary</v>
      </c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44"/>
        <v>6</v>
      </c>
      <c r="E1465" s="6" t="str" cm="1">
        <f t="array" ref="E1465">_xlfn.IFS(D1465&lt;=5,"Newcomer",AND(D1465&gt;=6,D1465&lt;=10),"Proficient",D1465&gt;=10,"Expert")</f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45"/>
        <v>Voluntary</v>
      </c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44"/>
        <v>24</v>
      </c>
      <c r="E1466" s="6" t="str" cm="1">
        <f t="array" ref="E1466">_xlfn.IFS(D1466&lt;=5,"Newcomer",AND(D1466&gt;=6,D1466&lt;=10),"Proficient",D1466&gt;=10,"Expert")</f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45"/>
        <v>Voluntary</v>
      </c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44"/>
        <v>14</v>
      </c>
      <c r="E1467" s="6" t="str" cm="1">
        <f t="array" ref="E1467">_xlfn.IFS(D1467&lt;=5,"Newcomer",AND(D1467&gt;=6,D1467&lt;=10),"Proficient",D1467&gt;=10,"Expert")</f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45"/>
        <v>Voluntary</v>
      </c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44"/>
        <v>26</v>
      </c>
      <c r="E1468" s="6" t="str" cm="1">
        <f t="array" ref="E1468">_xlfn.IFS(D1468&lt;=5,"Newcomer",AND(D1468&gt;=6,D1468&lt;=10),"Proficient",D1468&gt;=10,"Expert")</f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45"/>
        <v>Involuntary</v>
      </c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44"/>
        <v>26</v>
      </c>
      <c r="E1469" s="6" t="str" cm="1">
        <f t="array" ref="E1469">_xlfn.IFS(D1469&lt;=5,"Newcomer",AND(D1469&gt;=6,D1469&lt;=10),"Proficient",D1469&gt;=10,"Expert")</f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45"/>
        <v>Voluntary</v>
      </c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44"/>
        <v>27</v>
      </c>
      <c r="E1470" s="6" t="str" cm="1">
        <f t="array" ref="E1470">_xlfn.IFS(D1470&lt;=5,"Newcomer",AND(D1470&gt;=6,D1470&lt;=10),"Proficient",D1470&gt;=10,"Expert")</f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45"/>
        <v>Voluntary</v>
      </c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44"/>
        <v>23</v>
      </c>
      <c r="E1471" s="6" t="str" cm="1">
        <f t="array" ref="E1471">_xlfn.IFS(D1471&lt;=5,"Newcomer",AND(D1471&gt;=6,D1471&lt;=10),"Proficient",D1471&gt;=10,"Expert")</f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45"/>
        <v>Voluntary</v>
      </c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44"/>
        <v>17</v>
      </c>
      <c r="E1472" s="6" t="str" cm="1">
        <f t="array" ref="E1472">_xlfn.IFS(D1472&lt;=5,"Newcomer",AND(D1472&gt;=6,D1472&lt;=10),"Proficient",D1472&gt;=10,"Expert")</f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45"/>
        <v>Voluntary</v>
      </c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44"/>
        <v>6</v>
      </c>
      <c r="E1473" s="6" t="str" cm="1">
        <f t="array" ref="E1473">_xlfn.IFS(D1473&lt;=5,"Newcomer",AND(D1473&gt;=6,D1473&lt;=10),"Proficient",D1473&gt;=10,"Expert")</f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45"/>
        <v>Voluntary</v>
      </c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44"/>
        <v>26</v>
      </c>
      <c r="E1474" s="6" t="str" cm="1">
        <f t="array" ref="E1474">_xlfn.IFS(D1474&lt;=5,"Newcomer",AND(D1474&gt;=6,D1474&lt;=10),"Proficient",D1474&gt;=10,"Expert")</f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45"/>
        <v>Voluntary</v>
      </c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46">YEAR(C1475)-YEAR(B1475)</f>
        <v>8</v>
      </c>
      <c r="E1475" s="6" t="str" cm="1">
        <f t="array" ref="E1475">_xlfn.IFS(D1475&lt;=5,"Newcomer",AND(D1475&gt;=6,D1475&lt;=10),"Proficient",D1475&gt;=10,"Expert")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ref="M1475:M1486" si="47">IF(OR(L1475="Retirement",L1475="Resignation"),"Voluntary","Involuntary")</f>
        <v>Voluntary</v>
      </c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46"/>
        <v>13</v>
      </c>
      <c r="E1476" s="6" t="str" cm="1">
        <f t="array" ref="E1476">_xlfn.IFS(D1476&lt;=5,"Newcomer",AND(D1476&gt;=6,D1476&lt;=10),"Proficient",D1476&gt;=10,"Expert")</f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47"/>
        <v>Voluntary</v>
      </c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46"/>
        <v>18</v>
      </c>
      <c r="E1477" s="6" t="str" cm="1">
        <f t="array" ref="E1477">_xlfn.IFS(D1477&lt;=5,"Newcomer",AND(D1477&gt;=6,D1477&lt;=10),"Proficient",D1477&gt;=10,"Expert")</f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47"/>
        <v>Voluntary</v>
      </c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46"/>
        <v>30</v>
      </c>
      <c r="E1478" s="6" t="str" cm="1">
        <f t="array" ref="E1478">_xlfn.IFS(D1478&lt;=5,"Newcomer",AND(D1478&gt;=6,D1478&lt;=10),"Proficient",D1478&gt;=10,"Expert")</f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47"/>
        <v>Involuntary</v>
      </c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46"/>
        <v>30</v>
      </c>
      <c r="E1479" s="6" t="str" cm="1">
        <f t="array" ref="E1479">_xlfn.IFS(D1479&lt;=5,"Newcomer",AND(D1479&gt;=6,D1479&lt;=10),"Proficient",D1479&gt;=10,"Expert")</f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47"/>
        <v>Voluntary</v>
      </c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46"/>
        <v>19</v>
      </c>
      <c r="E1480" s="6" t="str" cm="1">
        <f t="array" ref="E1480">_xlfn.IFS(D1480&lt;=5,"Newcomer",AND(D1480&gt;=6,D1480&lt;=10),"Proficient",D1480&gt;=10,"Expert")</f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47"/>
        <v>Voluntary</v>
      </c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46"/>
        <v>7</v>
      </c>
      <c r="E1481" s="6" t="str" cm="1">
        <f t="array" ref="E1481">_xlfn.IFS(D1481&lt;=5,"Newcomer",AND(D1481&gt;=6,D1481&lt;=10),"Proficient",D1481&gt;=10,"Expert")</f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47"/>
        <v>Involuntary</v>
      </c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46"/>
        <v>20</v>
      </c>
      <c r="E1482" s="6" t="str" cm="1">
        <f t="array" ref="E1482">_xlfn.IFS(D1482&lt;=5,"Newcomer",AND(D1482&gt;=6,D1482&lt;=10),"Proficient",D1482&gt;=10,"Expert")</f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47"/>
        <v>Involuntary</v>
      </c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46"/>
        <v>26</v>
      </c>
      <c r="E1483" s="6" t="str" cm="1">
        <f t="array" ref="E1483">_xlfn.IFS(D1483&lt;=5,"Newcomer",AND(D1483&gt;=6,D1483&lt;=10),"Proficient",D1483&gt;=10,"Expert")</f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47"/>
        <v>Voluntary</v>
      </c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46"/>
        <v>25</v>
      </c>
      <c r="E1484" s="6" t="str" cm="1">
        <f t="array" ref="E1484">_xlfn.IFS(D1484&lt;=5,"Newcomer",AND(D1484&gt;=6,D1484&lt;=10),"Proficient",D1484&gt;=10,"Expert")</f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47"/>
        <v>Involuntary</v>
      </c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46"/>
        <v>25</v>
      </c>
      <c r="E1485" s="6" t="str" cm="1">
        <f t="array" ref="E1485">_xlfn.IFS(D1485&lt;=5,"Newcomer",AND(D1485&gt;=6,D1485&lt;=10),"Proficient",D1485&gt;=10,"Expert")</f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47"/>
        <v>Voluntary</v>
      </c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46"/>
        <v>19</v>
      </c>
      <c r="E1486" s="6" t="str" cm="1">
        <f t="array" ref="E1486">_xlfn.IFS(D1486&lt;=5,"Newcomer",AND(D1486&gt;=6,D1486&lt;=10),"Proficient",D1486&gt;=10,"Expert")</f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47"/>
        <v>Involuntary</v>
      </c>
      <c r="N1486" s="4" t="s">
        <v>26</v>
      </c>
    </row>
  </sheetData>
  <autoFilter ref="A1:N1486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33" workbookViewId="0">
      <selection activeCell="B54" sqref="B54"/>
    </sheetView>
  </sheetViews>
  <sheetFormatPr defaultRowHeight="14.4" x14ac:dyDescent="0.3"/>
  <cols>
    <col min="1" max="1" width="8.88671875" style="23"/>
    <col min="2" max="2" width="31.5546875" customWidth="1"/>
    <col min="3" max="3" width="26.21875" bestFit="1" customWidth="1"/>
  </cols>
  <sheetData>
    <row r="1" spans="1:3" x14ac:dyDescent="0.3">
      <c r="A1" s="23" t="s">
        <v>119</v>
      </c>
    </row>
    <row r="3" spans="1:3" x14ac:dyDescent="0.3">
      <c r="A3" s="23" t="s">
        <v>120</v>
      </c>
    </row>
    <row r="4" spans="1:3" x14ac:dyDescent="0.3">
      <c r="B4" t="s">
        <v>122</v>
      </c>
      <c r="C4" s="12">
        <f>COUNTA(Data!L2:L1486)</f>
        <v>1485</v>
      </c>
    </row>
    <row r="5" spans="1:3" x14ac:dyDescent="0.3">
      <c r="C5" s="8"/>
    </row>
    <row r="6" spans="1:3" x14ac:dyDescent="0.3">
      <c r="A6" s="23" t="s">
        <v>121</v>
      </c>
      <c r="C6" s="8"/>
    </row>
    <row r="7" spans="1:3" x14ac:dyDescent="0.3">
      <c r="B7" t="s">
        <v>123</v>
      </c>
      <c r="C7" s="11">
        <v>7.0000000000000007E-2</v>
      </c>
    </row>
    <row r="8" spans="1:3" x14ac:dyDescent="0.3">
      <c r="B8" t="s">
        <v>124</v>
      </c>
      <c r="C8" s="24">
        <f>C4+(C4*C7)</f>
        <v>1588.95</v>
      </c>
    </row>
    <row r="10" spans="1:3" ht="15" thickBot="1" x14ac:dyDescent="0.35">
      <c r="A10" s="23" t="s">
        <v>125</v>
      </c>
    </row>
    <row r="11" spans="1:3" x14ac:dyDescent="0.3">
      <c r="B11" s="15" t="s">
        <v>126</v>
      </c>
      <c r="C11" s="16" t="s">
        <v>127</v>
      </c>
    </row>
    <row r="12" spans="1:3" x14ac:dyDescent="0.3">
      <c r="B12" s="18">
        <v>0.04</v>
      </c>
      <c r="C12" s="13">
        <f>ROUND(C$4+(C$4*B12),0)</f>
        <v>1544</v>
      </c>
    </row>
    <row r="13" spans="1:3" x14ac:dyDescent="0.3">
      <c r="B13" s="18">
        <v>4.4999999999999998E-2</v>
      </c>
      <c r="C13" s="13">
        <f t="shared" ref="C13:C24" si="0">ROUND(C$4+(C$4*B13),0)</f>
        <v>1552</v>
      </c>
    </row>
    <row r="14" spans="1:3" x14ac:dyDescent="0.3">
      <c r="B14" s="18">
        <v>0.05</v>
      </c>
      <c r="C14" s="13">
        <f t="shared" si="0"/>
        <v>1559</v>
      </c>
    </row>
    <row r="15" spans="1:3" x14ac:dyDescent="0.3">
      <c r="B15" s="18">
        <v>5.5E-2</v>
      </c>
      <c r="C15" s="13">
        <f t="shared" si="0"/>
        <v>1567</v>
      </c>
    </row>
    <row r="16" spans="1:3" x14ac:dyDescent="0.3">
      <c r="B16" s="18">
        <v>0.06</v>
      </c>
      <c r="C16" s="13">
        <f t="shared" si="0"/>
        <v>1574</v>
      </c>
    </row>
    <row r="17" spans="1:3" x14ac:dyDescent="0.3">
      <c r="B17" s="18">
        <v>6.5000000000000002E-2</v>
      </c>
      <c r="C17" s="13">
        <f t="shared" si="0"/>
        <v>1582</v>
      </c>
    </row>
    <row r="18" spans="1:3" x14ac:dyDescent="0.3">
      <c r="B18" s="18">
        <v>7.0000000000000007E-2</v>
      </c>
      <c r="C18" s="13">
        <f t="shared" si="0"/>
        <v>1589</v>
      </c>
    </row>
    <row r="19" spans="1:3" x14ac:dyDescent="0.3">
      <c r="B19" s="18">
        <v>7.4999999999999997E-2</v>
      </c>
      <c r="C19" s="13">
        <f t="shared" si="0"/>
        <v>1596</v>
      </c>
    </row>
    <row r="20" spans="1:3" x14ac:dyDescent="0.3">
      <c r="B20" s="18">
        <v>0.08</v>
      </c>
      <c r="C20" s="13">
        <f t="shared" si="0"/>
        <v>1604</v>
      </c>
    </row>
    <row r="21" spans="1:3" x14ac:dyDescent="0.3">
      <c r="B21" s="18">
        <v>8.5000000000000006E-2</v>
      </c>
      <c r="C21" s="13">
        <f t="shared" si="0"/>
        <v>1611</v>
      </c>
    </row>
    <row r="22" spans="1:3" x14ac:dyDescent="0.3">
      <c r="B22" s="18">
        <v>0.09</v>
      </c>
      <c r="C22" s="13">
        <f t="shared" si="0"/>
        <v>1619</v>
      </c>
    </row>
    <row r="23" spans="1:3" x14ac:dyDescent="0.3">
      <c r="B23" s="18">
        <v>9.5000000000000001E-2</v>
      </c>
      <c r="C23" s="13">
        <f t="shared" si="0"/>
        <v>1626</v>
      </c>
    </row>
    <row r="24" spans="1:3" ht="15" thickBot="1" x14ac:dyDescent="0.35">
      <c r="B24" s="17">
        <v>0.1</v>
      </c>
      <c r="C24" s="13">
        <f t="shared" si="0"/>
        <v>1634</v>
      </c>
    </row>
    <row r="26" spans="1:3" x14ac:dyDescent="0.3">
      <c r="A26" s="23" t="s">
        <v>128</v>
      </c>
    </row>
    <row r="27" spans="1:3" ht="15" thickBot="1" x14ac:dyDescent="0.35">
      <c r="B27" t="s">
        <v>129</v>
      </c>
    </row>
    <row r="28" spans="1:3" x14ac:dyDescent="0.3">
      <c r="B28" s="15" t="s">
        <v>126</v>
      </c>
      <c r="C28" s="16" t="s">
        <v>127</v>
      </c>
    </row>
    <row r="29" spans="1:3" ht="15" thickBot="1" x14ac:dyDescent="0.35">
      <c r="B29" s="17">
        <v>4.4999999999999998E-2</v>
      </c>
      <c r="C29" s="14">
        <f>VLOOKUP(B29,B12:C24,2,0)</f>
        <v>1552</v>
      </c>
    </row>
    <row r="31" spans="1:3" x14ac:dyDescent="0.3">
      <c r="A31" s="23" t="s">
        <v>130</v>
      </c>
    </row>
    <row r="32" spans="1:3" ht="15" thickBot="1" x14ac:dyDescent="0.35">
      <c r="B32" s="10" t="s">
        <v>122</v>
      </c>
    </row>
    <row r="33" spans="1:3" x14ac:dyDescent="0.3">
      <c r="B33" s="15" t="s">
        <v>131</v>
      </c>
      <c r="C33" s="16" t="s">
        <v>132</v>
      </c>
    </row>
    <row r="34" spans="1:3" x14ac:dyDescent="0.3">
      <c r="B34" s="19" t="s">
        <v>19</v>
      </c>
      <c r="C34" s="13">
        <f>COUNTIF(Data!L2:L1486,Solutions!B34)</f>
        <v>392</v>
      </c>
    </row>
    <row r="35" spans="1:3" x14ac:dyDescent="0.3">
      <c r="B35" s="19" t="s">
        <v>50</v>
      </c>
      <c r="C35" s="13">
        <f>COUNTIF(Data!L3:L1487,Solutions!B35)</f>
        <v>385</v>
      </c>
    </row>
    <row r="36" spans="1:3" ht="15" thickBot="1" x14ac:dyDescent="0.35">
      <c r="B36" s="20" t="s">
        <v>96</v>
      </c>
      <c r="C36" s="13">
        <f>COUNTIF(Data!L4:L1488,Solutions!B36)</f>
        <v>708</v>
      </c>
    </row>
    <row r="38" spans="1:3" ht="15" thickBot="1" x14ac:dyDescent="0.35">
      <c r="B38" s="21" t="s">
        <v>133</v>
      </c>
    </row>
    <row r="39" spans="1:3" x14ac:dyDescent="0.3">
      <c r="B39" s="15" t="s">
        <v>131</v>
      </c>
      <c r="C39" s="16" t="s">
        <v>132</v>
      </c>
    </row>
    <row r="40" spans="1:3" ht="15" thickBot="1" x14ac:dyDescent="0.35">
      <c r="B40" s="20" t="str">
        <f>_xlfn.XLOOKUP(C40,C34:C36,B34:B36,"No Data Found",0)</f>
        <v>Layoff</v>
      </c>
      <c r="C40" s="14">
        <f>MAX(C34:C36)</f>
        <v>708</v>
      </c>
    </row>
    <row r="42" spans="1:3" x14ac:dyDescent="0.3">
      <c r="A42" s="23" t="s">
        <v>134</v>
      </c>
      <c r="B42" t="s">
        <v>135</v>
      </c>
    </row>
    <row r="44" spans="1:3" x14ac:dyDescent="0.3">
      <c r="B44" t="s">
        <v>136</v>
      </c>
    </row>
    <row r="45" spans="1:3" x14ac:dyDescent="0.3">
      <c r="B45" t="s">
        <v>137</v>
      </c>
      <c r="C45" s="22">
        <f>COUNTA(Data!M2:M1486)</f>
        <v>1485</v>
      </c>
    </row>
    <row r="46" spans="1:3" x14ac:dyDescent="0.3">
      <c r="B46" t="s">
        <v>138</v>
      </c>
      <c r="C46" s="8">
        <f>COUNTIF(Data!M2:M1486,"Voluntary")</f>
        <v>777</v>
      </c>
    </row>
    <row r="47" spans="1:3" x14ac:dyDescent="0.3">
      <c r="B47" s="10" t="s">
        <v>139</v>
      </c>
      <c r="C47" s="25">
        <f>C46/C45</f>
        <v>0.52323232323232327</v>
      </c>
    </row>
    <row r="49" spans="1:1" x14ac:dyDescent="0.3">
      <c r="A49" s="2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632-D093-4D6A-B2B0-1C98DA1010FD}">
  <dimension ref="A1:E33"/>
  <sheetViews>
    <sheetView topLeftCell="A12" workbookViewId="0">
      <selection activeCell="I26" sqref="I26"/>
    </sheetView>
  </sheetViews>
  <sheetFormatPr defaultRowHeight="14.4" x14ac:dyDescent="0.3"/>
  <sheetData>
    <row r="1" spans="1:4" ht="17.399999999999999" x14ac:dyDescent="0.3">
      <c r="A1" s="26" t="s">
        <v>141</v>
      </c>
    </row>
    <row r="2" spans="1:4" x14ac:dyDescent="0.3">
      <c r="A2" s="27" t="s">
        <v>142</v>
      </c>
    </row>
    <row r="3" spans="1:4" x14ac:dyDescent="0.3">
      <c r="A3" s="27"/>
    </row>
    <row r="4" spans="1:4" ht="17.399999999999999" x14ac:dyDescent="0.3">
      <c r="A4" s="29" t="s">
        <v>143</v>
      </c>
    </row>
    <row r="5" spans="1:4" x14ac:dyDescent="0.3">
      <c r="A5" s="30" t="s">
        <v>144</v>
      </c>
      <c r="D5" s="30" t="s">
        <v>145</v>
      </c>
    </row>
    <row r="6" spans="1:4" x14ac:dyDescent="0.3">
      <c r="A6" s="31" t="s">
        <v>146</v>
      </c>
    </row>
    <row r="7" spans="1:4" x14ac:dyDescent="0.3">
      <c r="A7" s="32" t="s">
        <v>147</v>
      </c>
    </row>
    <row r="8" spans="1:4" x14ac:dyDescent="0.3">
      <c r="A8" s="31" t="s">
        <v>148</v>
      </c>
    </row>
    <row r="9" spans="1:4" x14ac:dyDescent="0.3">
      <c r="A9" s="33"/>
    </row>
    <row r="10" spans="1:4" x14ac:dyDescent="0.3">
      <c r="A10" s="30" t="s">
        <v>149</v>
      </c>
    </row>
    <row r="11" spans="1:4" x14ac:dyDescent="0.3">
      <c r="A11" s="27" t="s">
        <v>150</v>
      </c>
    </row>
    <row r="12" spans="1:4" x14ac:dyDescent="0.3">
      <c r="A12" s="31" t="s">
        <v>151</v>
      </c>
    </row>
    <row r="13" spans="1:4" x14ac:dyDescent="0.3">
      <c r="A13" s="31" t="s">
        <v>152</v>
      </c>
    </row>
    <row r="14" spans="1:4" x14ac:dyDescent="0.3">
      <c r="A14" s="28" t="s">
        <v>153</v>
      </c>
    </row>
    <row r="15" spans="1:4" x14ac:dyDescent="0.3">
      <c r="A15" s="31" t="s">
        <v>154</v>
      </c>
    </row>
    <row r="16" spans="1:4" x14ac:dyDescent="0.3">
      <c r="A16" s="34" t="s">
        <v>155</v>
      </c>
    </row>
    <row r="17" spans="1:5" x14ac:dyDescent="0.3">
      <c r="A17" s="35" t="s">
        <v>156</v>
      </c>
      <c r="E17" s="35" t="s">
        <v>157</v>
      </c>
    </row>
    <row r="18" spans="1:5" x14ac:dyDescent="0.3">
      <c r="A18" s="31" t="s">
        <v>158</v>
      </c>
    </row>
    <row r="19" spans="1:5" x14ac:dyDescent="0.3">
      <c r="A19" s="36" t="s">
        <v>159</v>
      </c>
    </row>
    <row r="20" spans="1:5" x14ac:dyDescent="0.3">
      <c r="A20" s="36" t="s">
        <v>160</v>
      </c>
    </row>
    <row r="21" spans="1:5" x14ac:dyDescent="0.3">
      <c r="A21" s="37" t="s">
        <v>161</v>
      </c>
    </row>
    <row r="22" spans="1:5" x14ac:dyDescent="0.3">
      <c r="A22" s="35"/>
    </row>
    <row r="23" spans="1:5" x14ac:dyDescent="0.3">
      <c r="A23" s="31" t="s">
        <v>162</v>
      </c>
    </row>
    <row r="24" spans="1:5" x14ac:dyDescent="0.3">
      <c r="A24" s="38" t="s">
        <v>163</v>
      </c>
    </row>
    <row r="25" spans="1:5" x14ac:dyDescent="0.3">
      <c r="A25" s="38" t="s">
        <v>164</v>
      </c>
    </row>
    <row r="26" spans="1:5" x14ac:dyDescent="0.3">
      <c r="A26" s="38" t="s">
        <v>165</v>
      </c>
    </row>
    <row r="27" spans="1:5" x14ac:dyDescent="0.3">
      <c r="A27" s="39" t="s">
        <v>166</v>
      </c>
    </row>
    <row r="28" spans="1:5" x14ac:dyDescent="0.3">
      <c r="A28" s="30"/>
    </row>
    <row r="29" spans="1:5" x14ac:dyDescent="0.3">
      <c r="A29" s="30"/>
    </row>
    <row r="30" spans="1:5" x14ac:dyDescent="0.3">
      <c r="A30" s="27"/>
    </row>
    <row r="31" spans="1:5" x14ac:dyDescent="0.3">
      <c r="A31" s="27"/>
    </row>
    <row r="32" spans="1:5" x14ac:dyDescent="0.3">
      <c r="A32" s="40" t="s">
        <v>167</v>
      </c>
    </row>
    <row r="33" spans="1:1" x14ac:dyDescent="0.3">
      <c r="A33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Solutions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Deepak Kumar Singh</cp:lastModifiedBy>
  <dcterms:created xsi:type="dcterms:W3CDTF">2022-04-06T06:28:55Z</dcterms:created>
  <dcterms:modified xsi:type="dcterms:W3CDTF">2026-05-27T12:49:53Z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